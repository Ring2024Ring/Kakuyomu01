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cuments\Web小説\Webノベルダウンロードツール\reports\"/>
    </mc:Choice>
  </mc:AlternateContent>
  <xr:revisionPtr revIDLastSave="0" documentId="13_ncr:1_{438DDC1F-9553-4407-9A74-D6D9A519B735}" xr6:coauthVersionLast="47" xr6:coauthVersionMax="47" xr10:uidLastSave="{00000000-0000-0000-0000-000000000000}"/>
  <bookViews>
    <workbookView xWindow="-108" yWindow="-108" windowWidth="30936" windowHeight="17496" activeTab="9" xr2:uid="{00000000-000D-0000-FFFF-FFFF00000000}"/>
  </bookViews>
  <sheets>
    <sheet name="あらすじ全文" sheetId="1" r:id="rId1"/>
    <sheet name="順位上昇" sheetId="2" r:id="rId2"/>
    <sheet name="順位下落" sheetId="3" r:id="rId3"/>
    <sheet name="スター速度" sheetId="4" r:id="rId4"/>
    <sheet name="新規ランクイン" sheetId="5" r:id="rId5"/>
    <sheet name="圏外落ち" sheetId="6" r:id="rId6"/>
    <sheet name="成長カーブ" sheetId="7" r:id="rId7"/>
    <sheet name="滞在日数" sheetId="8" r:id="rId8"/>
    <sheet name="全差分" sheetId="9" r:id="rId9"/>
    <sheet name="作品ベース分類" sheetId="10" r:id="rId10"/>
    <sheet name="ベース分類集計"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1" l="1"/>
  <c r="F41" i="11"/>
  <c r="H41" i="11" s="1"/>
  <c r="D41" i="11"/>
  <c r="C41" i="11"/>
  <c r="E41" i="11" s="1"/>
  <c r="G40" i="11"/>
  <c r="F40" i="11"/>
  <c r="H40" i="11" s="1"/>
  <c r="D40" i="11"/>
  <c r="C40" i="11"/>
  <c r="E40" i="11" s="1"/>
  <c r="G39" i="11"/>
  <c r="F39" i="11"/>
  <c r="H39" i="11" s="1"/>
  <c r="D39" i="11"/>
  <c r="C39" i="11"/>
  <c r="E39" i="11" s="1"/>
  <c r="G38" i="11"/>
  <c r="F38" i="11"/>
  <c r="H38" i="11" s="1"/>
  <c r="D38" i="11"/>
  <c r="C38" i="11"/>
  <c r="E38" i="11" s="1"/>
  <c r="G37" i="11"/>
  <c r="F37" i="11"/>
  <c r="H37" i="11" s="1"/>
  <c r="D37" i="11"/>
  <c r="C37" i="11"/>
  <c r="E37" i="11" s="1"/>
  <c r="G36" i="11"/>
  <c r="F36" i="11"/>
  <c r="H36" i="11" s="1"/>
  <c r="E36" i="11"/>
  <c r="D36" i="11"/>
  <c r="C36" i="11"/>
  <c r="G35" i="11"/>
  <c r="F35" i="11"/>
  <c r="H35" i="11" s="1"/>
  <c r="D35" i="11"/>
  <c r="C35" i="11"/>
  <c r="E35" i="11" s="1"/>
  <c r="H34" i="11"/>
  <c r="G34" i="11"/>
  <c r="F34" i="11"/>
  <c r="D34" i="11"/>
  <c r="C34" i="11"/>
  <c r="E34" i="11" s="1"/>
  <c r="G33" i="11"/>
  <c r="F33" i="11"/>
  <c r="H33" i="11" s="1"/>
  <c r="D33" i="11"/>
  <c r="C33" i="11"/>
  <c r="E33" i="11" s="1"/>
  <c r="G32" i="11"/>
  <c r="F32" i="11"/>
  <c r="H32" i="11" s="1"/>
  <c r="D32" i="11"/>
  <c r="E32" i="11" s="1"/>
  <c r="C32" i="11"/>
  <c r="H31" i="11"/>
  <c r="G31" i="11"/>
  <c r="F31" i="11"/>
  <c r="E31" i="11"/>
  <c r="D31" i="11"/>
  <c r="C31" i="11"/>
  <c r="G30" i="11"/>
  <c r="F30" i="11"/>
  <c r="H30" i="11" s="1"/>
  <c r="D30" i="11"/>
  <c r="C30" i="11"/>
  <c r="E30" i="11" s="1"/>
  <c r="G29" i="11"/>
  <c r="F29" i="11"/>
  <c r="H29" i="11" s="1"/>
  <c r="D29" i="11"/>
  <c r="C29" i="11"/>
  <c r="E29" i="11" s="1"/>
  <c r="G28" i="11"/>
  <c r="F28" i="11"/>
  <c r="H28" i="11" s="1"/>
  <c r="E28" i="11"/>
  <c r="D28" i="11"/>
  <c r="C28" i="11"/>
  <c r="G27" i="11"/>
  <c r="F27" i="11"/>
  <c r="H27" i="11" s="1"/>
  <c r="D27" i="11"/>
  <c r="C27" i="11"/>
  <c r="E27" i="11" s="1"/>
  <c r="H26" i="11"/>
  <c r="G26" i="11"/>
  <c r="F26" i="11"/>
  <c r="D26" i="11"/>
  <c r="C26" i="11"/>
  <c r="E26" i="11" s="1"/>
  <c r="G25" i="11"/>
  <c r="F25" i="11"/>
  <c r="H25" i="11" s="1"/>
  <c r="D25" i="11"/>
  <c r="C25" i="11"/>
  <c r="E25" i="11" s="1"/>
  <c r="G24" i="11"/>
  <c r="F24" i="11"/>
  <c r="H24" i="11" s="1"/>
  <c r="D24" i="11"/>
  <c r="E24" i="11" s="1"/>
  <c r="C24" i="11"/>
  <c r="H23" i="11"/>
  <c r="G23" i="11"/>
  <c r="F23" i="11"/>
  <c r="E23" i="11"/>
  <c r="D23" i="11"/>
  <c r="C23" i="11"/>
  <c r="H22" i="11"/>
  <c r="G22" i="11"/>
  <c r="F22" i="11"/>
  <c r="D22" i="11"/>
  <c r="C22" i="11"/>
  <c r="E22" i="11" s="1"/>
  <c r="G21" i="11"/>
  <c r="F21" i="11"/>
  <c r="H21" i="11" s="1"/>
  <c r="D21" i="11"/>
  <c r="C21" i="11"/>
  <c r="E21" i="11" s="1"/>
  <c r="G20" i="11"/>
  <c r="F20" i="11"/>
  <c r="H20" i="11" s="1"/>
  <c r="E20" i="11"/>
  <c r="D20" i="11"/>
  <c r="C20" i="11"/>
  <c r="G19" i="11"/>
  <c r="F19" i="11"/>
  <c r="H19" i="11" s="1"/>
  <c r="D19" i="11"/>
  <c r="C19" i="11"/>
  <c r="E19" i="11" s="1"/>
  <c r="H18" i="11"/>
  <c r="G18" i="11"/>
  <c r="F18" i="11"/>
  <c r="D18" i="11"/>
  <c r="C18" i="11"/>
  <c r="E18" i="11" s="1"/>
  <c r="G17" i="11"/>
  <c r="F17" i="11"/>
  <c r="H17" i="11" s="1"/>
  <c r="D17" i="11"/>
  <c r="C17" i="11"/>
  <c r="E17" i="11" s="1"/>
  <c r="G16" i="11"/>
  <c r="F16" i="11"/>
  <c r="H16" i="11" s="1"/>
  <c r="D16" i="11"/>
  <c r="E16" i="11" s="1"/>
  <c r="C16" i="11"/>
  <c r="H15" i="11"/>
  <c r="G15" i="11"/>
  <c r="F15" i="11"/>
  <c r="E15" i="11"/>
  <c r="D15" i="11"/>
  <c r="C15" i="11"/>
  <c r="H14" i="11"/>
  <c r="G14" i="11"/>
  <c r="F14" i="11"/>
  <c r="D14" i="11"/>
  <c r="C14" i="11"/>
  <c r="E14" i="11" s="1"/>
  <c r="G13" i="11"/>
  <c r="F13" i="11"/>
  <c r="H13" i="11" s="1"/>
  <c r="D13" i="11"/>
  <c r="C13" i="11"/>
  <c r="E13" i="11" s="1"/>
  <c r="G12" i="11"/>
  <c r="F12" i="11"/>
  <c r="H12" i="11" s="1"/>
  <c r="E12" i="11"/>
  <c r="D12" i="11"/>
  <c r="C12" i="11"/>
  <c r="G11" i="11"/>
  <c r="F11" i="11"/>
  <c r="H11" i="11" s="1"/>
  <c r="D11" i="11"/>
  <c r="C11" i="11"/>
  <c r="E11" i="11" s="1"/>
  <c r="G10" i="11"/>
  <c r="F10" i="11"/>
  <c r="H10" i="11" s="1"/>
  <c r="D10" i="11"/>
  <c r="C10" i="11"/>
  <c r="E10" i="11" s="1"/>
  <c r="G9" i="11"/>
  <c r="G42" i="11" s="1"/>
  <c r="F9" i="11"/>
  <c r="F42" i="11" s="1"/>
  <c r="D9" i="11"/>
  <c r="D42" i="11" s="1"/>
  <c r="C9" i="11"/>
  <c r="C42" i="11" s="1"/>
  <c r="F6" i="11"/>
  <c r="C6" i="11"/>
  <c r="A6" i="11"/>
  <c r="E9" i="11" l="1"/>
  <c r="E42" i="11" s="1"/>
  <c r="H9" i="11"/>
  <c r="H42" i="11" s="1"/>
</calcChain>
</file>

<file path=xl/sharedStrings.xml><?xml version="1.0" encoding="utf-8"?>
<sst xmlns="http://schemas.openxmlformats.org/spreadsheetml/2006/main" count="11153" uniqueCount="2741">
  <si>
    <t>genre</t>
  </si>
  <si>
    <t>rank</t>
  </si>
  <si>
    <t>区分</t>
  </si>
  <si>
    <t>title</t>
  </si>
  <si>
    <t>author</t>
  </si>
  <si>
    <t>work_url</t>
  </si>
  <si>
    <t>catchphrase</t>
  </si>
  <si>
    <t>intro</t>
  </si>
  <si>
    <t>intro_len</t>
  </si>
  <si>
    <t>tags</t>
  </si>
  <si>
    <t>star</t>
  </si>
  <si>
    <t>star_gain</t>
  </si>
  <si>
    <t>star_per_day</t>
  </si>
  <si>
    <t>episodes</t>
  </si>
  <si>
    <t>chars</t>
  </si>
  <si>
    <t>elapsed_days</t>
  </si>
  <si>
    <t>status</t>
  </si>
  <si>
    <t>現代ファンタジー</t>
  </si>
  <si>
    <t>継続</t>
  </si>
  <si>
    <t>S級探索者を5人育てたら全員に独立された中年コーチ、暇つぶしの初心者講座配信が「人類の攻略常識」を書き換え始める 〜教え子たちが「先生の本当の価値」に気付いて騒ぎ出すまで、あと3日〜</t>
  </si>
  <si>
    <t>さくらろ</t>
  </si>
  <si>
    <t>https://kakuyomu.jp/works/2912051604434822405</t>
  </si>
  <si>
    <t>育てた俺が、一番育っていなかったらしい。……世界の評価基準のほうがな。</t>
  </si>
  <si>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</si>
  <si>
    <t>現代ダンジョン|配信|師匠|おっさん主人公|無自覚|曇らせ|成り上がり|AI本文利用</t>
  </si>
  <si>
    <t>連載中</t>
  </si>
  <si>
    <t>氷河期ストレージ ～生き返った俺はすべての甘さを捨てて、この絶望を生き抜く～</t>
  </si>
  <si>
    <t>宵白レン</t>
  </si>
  <si>
    <t>https://kakuyomu.jp/works/2912051605717497440</t>
  </si>
  <si>
    <t>生きるためなら、人はどこまで人を捨てられるのか。</t>
  </si>
  <si>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</si>
  <si>
    <t>現代ファンタジー|終末|秩序崩壊|人間ドラマ|ざまぁ|タイムリープ|群像劇|AI本文一部利用</t>
  </si>
  <si>
    <t>穏やかゲーマー配信者、ストレス発散でブチ切れながらモンスターを蹂躙している姿が世界中で拡散され無事本性がバレてしまう</t>
  </si>
  <si>
    <t>くるみ</t>
  </si>
  <si>
    <t>https://kakuyomu.jp/works/2912051605963241331</t>
  </si>
  <si>
    <t>「ダンジョン攻略したらガチャ石大量配布！？　任せろ全部蹂躙してやる」</t>
  </si>
  <si>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</si>
  <si>
    <t>男主人公|主人公最強|ダンジョン|ゲーマー|配信|無双|無自覚ハーレム|ヤンデレ・バーサーカー・お嬢様</t>
  </si>
  <si>
    <t>クビになった錬金術師のおっさん、回復薬をネット販売したらエリクサー扱いされました～初心者冒険者を救っていたら、俺をクビにした大手製薬会社が後悔し始めた～</t>
  </si>
  <si>
    <t>あずーる</t>
  </si>
  <si>
    <t>https://kakuyomu.jp/works/2912051606449893780</t>
  </si>
  <si>
    <t>初心者応援！ 自作の薬草水、1本100円で出品します。</t>
  </si>
  <si>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</si>
  <si>
    <t>ダンジョン|おっさん主人公|錬金術師|無自覚|追放|ざまぁ|勘違い|AI補助利用</t>
  </si>
  <si>
    <t>完結済</t>
  </si>
  <si>
    <t>俺の裏山、世界最高難度らしい ～中古ドローンでいつものダンジョンを配信したら世界中が騒ぎ始めた～</t>
  </si>
  <si>
    <t>山ノ上商会</t>
  </si>
  <si>
    <t>https://kakuyomu.jp/works/2912051606470936014</t>
  </si>
  <si>
    <t>俺にとっては、ただの遊び場だった。――世界がその異常さに気付くまでは。</t>
  </si>
  <si>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</si>
  <si>
    <t>配信|ダンジョン|現代日本|ファンタジー|主人公が強い|冒険|無自覚|AI本文利用</t>
  </si>
  <si>
    <t>追放された結界師、田舎の空き家を守ってただけなのに日本唯一の安全地帯になった 〜俺を切った探索者協会、首都ダンジョン崩壊で終わる〜</t>
  </si>
  <si>
    <t>花月乃機鳥</t>
  </si>
  <si>
    <t>https://kakuyomu.jp/works/2912051603397858459</t>
  </si>
  <si>
    <t>俺を捨てた日、日本の安全保障が終わった</t>
  </si>
  <si>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</si>
  <si>
    <t>AI本文利用|現代ファンタジー|現代ダンジョン|追放ざまぁ|主人公最強</t>
  </si>
  <si>
    <t>百鬼夜行(スタンピード)の人柱にされた俺、千年も修行して現代へ帰還したんだけど、普通に暮らすのが目標です。</t>
  </si>
  <si>
    <t>いな＠</t>
  </si>
  <si>
    <t>https://kakuyomu.jp/works/2912051599970235830</t>
  </si>
  <si>
    <t>『放課後屋上に来い！』と脅されたが、ダンジョンに稼ぎに行くので、無理。</t>
  </si>
  <si>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</si>
  <si>
    <t>ダンジョン・現代ダンジョン|妖怪・百鬼夜行|男主人公|主人公最強・隠れ最強|ざまぁ|カクヨムオンリー</t>
  </si>
  <si>
    <t>TS転生してダンジョンで暮らしていた俺、迷子になって配信に映り込む</t>
  </si>
  <si>
    <t>モヘンジョロ</t>
  </si>
  <si>
    <t>https://kakuyomu.jp/works/2912051606811828023</t>
  </si>
  <si>
    <t>災害級？　俺の家の近くにはもっとでかいのがいるけど</t>
  </si>
  <si>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</si>
  <si>
    <t>TS転生|ダンジョン配信|主人公最強|異世界|もふもふ|配信|AI本文使用</t>
  </si>
  <si>
    <t>異世界で魔王を倒して帰還した俺、気分転換にVRMMOを始めたら戦闘技術がおかしいらしい</t>
  </si>
  <si>
    <t>海鳴　雫</t>
  </si>
  <si>
    <t>https://kakuyomu.jp/works/2912051605507569959</t>
  </si>
  <si>
    <t>世界を救った剣技でゲームしてるだけなのに、なぜか配信がバズっている。</t>
  </si>
  <si>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</si>
  <si>
    <t>VRMMO|配信|主人公最強|男主人公|異世界帰還|ラブコメ|現代|カクヨムオンリー</t>
  </si>
  <si>
    <t>カラスの悪魔がやって来る 〜泣き寝入りするのをやめた元社畜、世界中のカラスを支配して、ナメた探索者を狩り尽くす〜</t>
  </si>
  <si>
    <t>川野笹舟</t>
  </si>
  <si>
    <t>https://kakuyomu.jp/works/2912051604153063294</t>
  </si>
  <si>
    <t>悪いことするとカラスの悪魔が来るよ</t>
  </si>
  <si>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</si>
  <si>
    <t>成り上がり|ざまぁ|主人公最強|現代ダンジョン</t>
  </si>
  <si>
    <t>異世界で魔法を覚えたら、高校中退引っ越しバイトから令嬢の護衛筆頭にまで格上がった件</t>
  </si>
  <si>
    <t>甲賀流</t>
  </si>
  <si>
    <t>https://kakuyomu.jp/works/2912051600397486794</t>
  </si>
  <si>
    <t>身体強化を覚えたら、人生変わった。</t>
  </si>
  <si>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</si>
  <si>
    <t>魔法|異世界|成り上がり|主人公いずれ最強|お仕事|異世界転移|スキル|ヒロイン</t>
  </si>
  <si>
    <t>アンチだらけの元最強プロゲーマー、ダンジョン配信でも永久コンボでハメ殺す ～国民的アイドルの妹と夕飯を食べたいだけなのに、世界だけが毎回大炎上～</t>
  </si>
  <si>
    <t>白洲りつ</t>
  </si>
  <si>
    <t>https://kakuyomu.jp/works/2912051605643694466</t>
  </si>
  <si>
    <t>夕飯を獲りに行っただけなのに、毎回世界が大炎上。</t>
  </si>
  <si>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</si>
  <si>
    <t>ダンジョン|兄妹|主人公最強|配信|探索者|掲示板|AI本文利用|グルメ</t>
  </si>
  <si>
    <t>全人類の玄関がダンジョンになった世界で、俺だけSSSスキル『スケルトンラッシュ』を引いた～敵を倒すほど仲間が増え、放置で稼いだポイントをショップで使って、食事も家電も部屋もどんどん豪華にしていきます～</t>
  </si>
  <si>
    <t>トワイライト</t>
  </si>
  <si>
    <t>https://kakuyomu.jp/works/2912051606524995492</t>
  </si>
  <si>
    <t>放置で稼いで、食事も家もどんどん豪華に！</t>
  </si>
  <si>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</si>
  <si>
    <t>ダンジョン|放置刈り|チート|冒険|日常|グルメ|超能力|魔法</t>
  </si>
  <si>
    <t>ＳＳＲの創造主　～Ｆランクの底辺探索者、はずれスキルと思われていた『融合』でＳＳＲの最強使い魔を従え、アイドル配信者の配信に映り込み大バスしてしまう～</t>
  </si>
  <si>
    <t>夕影草　一葉</t>
  </si>
  <si>
    <t>https://kakuyomu.jp/works/2912051606551769038</t>
  </si>
  <si>
    <t>販売価格１パック１０万円。３枚入り。※１Ｂｏｘで全カードは揃いません。</t>
  </si>
  <si>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</si>
  <si>
    <t>現代ダンジョン|現代ファンタジー|主人公最強|配信者|ダンジョン配信|男主人公|学園|AI補助利用</t>
  </si>
  <si>
    <t>世界崩壊まであと5年、俺は裏山に北海道サイズの地下帝国を建てる ～万能システムと無限の魔石で、地上が滅びる前に絶対安全な理想郷をクラフトします～</t>
  </si>
  <si>
    <t>@takanoyuichi</t>
  </si>
  <si>
    <t>https://kakuyomu.jp/works/2912051605091112292</t>
  </si>
  <si>
    <t>地上が地獄と化すその日、俺たちの地下帝国は「究極の楽園」になる。</t>
  </si>
  <si>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</si>
  <si>
    <t>タイムリープ|ダンジョン|内政|クラフト|拠点防衛|主人公最強（システム）|男主人公|スローライフ要素あり</t>
  </si>
  <si>
    <t>妹の入院費のため深夜のダンジョン清掃バイトを始めたら、掃除した階層が「単独完全攻略」扱いされて世界が騒然〜時給1,200円を喜んでいるだけなのに、正体不明の「人類最強」を巡って各国が動き出す〜</t>
  </si>
  <si>
    <t>https://kakuyomu.jp/works/2912051604104110130</t>
  </si>
  <si>
    <t>深夜3時、世界が探す人類最強は、モップを絞っていた。</t>
  </si>
  <si>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</si>
  <si>
    <t>現代ダンジョン|勘違い|無自覚最強|ざまぁ|曇らせ|兄妹|AI本文利用</t>
  </si>
  <si>
    <t>借金の保証人になった優しい田舎のおじさんのダンジョン配信</t>
  </si>
  <si>
    <t>月瀬リュカ</t>
  </si>
  <si>
    <t>https://kakuyomu.jp/works/2912051607178213419</t>
  </si>
  <si>
    <t>借金を返すたび、押し付けたA級探索者の力が俺に来る。</t>
  </si>
  <si>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</si>
  <si>
    <t>現代ダンジョン|スキル|成長|配信|おじさん主人公|ざまぁ|田舎暮らし|もふもふ</t>
  </si>
  <si>
    <t>魔法学園で魔法を使えない俺に負けた主席の才女がどんどん狂っていく</t>
  </si>
  <si>
    <t>破滅</t>
  </si>
  <si>
    <t>https://kakuyomu.jp/works/2912051606229942799</t>
  </si>
  <si>
    <t>他の人に負けたら許さない。私だけを見て。一生逃がさない</t>
  </si>
  <si>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</si>
  <si>
    <t>Ｒ１５|主人公最強|ヤンデレ|石鹸枠|学園|エロ|ざまぁ|ラブコメ</t>
  </si>
  <si>
    <t>異世界帰りの勇者はVRMMOでも最強だった～初心者なのに規格外の戦闘能力を見せた結果、配信でバズってしまう～</t>
  </si>
  <si>
    <t>WING</t>
  </si>
  <si>
    <t>https://kakuyomu.jp/works/2912051602727191668</t>
  </si>
  <si>
    <t>『本当に初心者ですか⁉』「初心者だよ（異世界で二十年の戦闘経験あり）」</t>
  </si>
  <si>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</si>
  <si>
    <t>男主人公|主人公最強|無双|配信|VRMMO|異世界帰り|カクヨムオンリー|規格外</t>
  </si>
  <si>
    <t>帰還勇者の日本粛清〜異世界から帰還した勇者は腐りきった日本のクズを1人残らず殺すことに決めました〜</t>
  </si>
  <si>
    <t>田中又雄</t>
  </si>
  <si>
    <t>https://kakuyomu.jp/works/2912051606097981557</t>
  </si>
  <si>
    <t>命をかけて日本に戻ったのに腐り切っていたので革命起こすことにした</t>
  </si>
  <si>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</si>
  <si>
    <t>異世界帰還|ダークファンタジー|魔法|バトル|カクヨムオンリー|最強|勇者|AI補助</t>
  </si>
  <si>
    <t>妹のダンジョン配信にうっかり映った俺、正体不明の最強探索者として世界中に追われ始めた</t>
  </si>
  <si>
    <t>アリババ</t>
  </si>
  <si>
    <t>https://kakuyomu.jp/works/2912051606487403279</t>
  </si>
  <si>
    <t>世界中「こいつ誰だ？」　俺「いや、妹の裏方だけど？」</t>
  </si>
  <si>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</si>
  <si>
    <t>ダンジョン配信|妹|VTuber|配信|掲示板|主人公最強|AI補助|ダンジョン</t>
  </si>
  <si>
    <t>【10万PV感謝】性能しか見ていない鍛冶師、左遷先でなぜかバズる 〜性能特化で赤字子会社を立て直す〜</t>
  </si>
  <si>
    <t>剛己</t>
  </si>
  <si>
    <t>https://kakuyomu.jp/works/2912051607053590864</t>
  </si>
  <si>
    <t>包丁に見える？　なら、よく切れるということだ。</t>
  </si>
  <si>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</si>
  <si>
    <t>天才主人公|生産職|左遷|配信|会社再建|AI補佐</t>
  </si>
  <si>
    <t>俺の異能が中華ゲーだった ～34歳無職、ガチャで引いたキャラに変身して働きます～</t>
  </si>
  <si>
    <t>パラレル・ゲーマー</t>
  </si>
  <si>
    <t>https://kakuyomu.jp/works/2912051605992818100</t>
  </si>
  <si>
    <t>異能で美少女に変身して、仕事して、石を稼いで、ガチャを回す。</t>
  </si>
  <si>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</si>
  <si>
    <t>AI利用|チート|異能バトル|現代ファンタジー|魔法|TS</t>
  </si>
  <si>
    <t>推しと結婚したい２４歳脱サラ男、ダンジョン配信で年収1億を狙う</t>
  </si>
  <si>
    <t>音有　五角</t>
  </si>
  <si>
    <t>https://kakuyomu.jp/works/2912051606854917513</t>
  </si>
  <si>
    <t>魔物を吸収して、ステータスを爆伸びさせる。推しのために億を稼ぐ物語。</t>
  </si>
  <si>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</si>
  <si>
    <t>ダンジョン配信|和服ヒロイン|コメディ|魔法|主人公最強|成り上がり|努力系</t>
  </si>
  <si>
    <t>異世界最強の元勇者、今世は陰陽術を極めて無双します</t>
  </si>
  <si>
    <t>ジャジャ丸</t>
  </si>
  <si>
    <t>https://kakuyomu.jp/works/2912051597781188749</t>
  </si>
  <si>
    <t>赤ちゃんの体で動けないなら、式神に動いて貰えばいいじゃない</t>
  </si>
  <si>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</si>
  <si>
    <t>転生|陰陽術|式神|妹|ショタ|憑依|無双|努力</t>
  </si>
  <si>
    <t>異世界帰りの大賢者</t>
  </si>
  <si>
    <t>九一七</t>
  </si>
  <si>
    <t>https://kakuyomu.jp/works/2912051605244600616</t>
  </si>
  <si>
    <t>現代日本で霊能力が使えるって、便利だよね……それ、魔法だから！</t>
  </si>
  <si>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</si>
  <si>
    <t>ものづくり|成り上がり|企業経営|霊能力|魔法薬|マジックアイテム|サクセスストーリー|フィクサー</t>
  </si>
  <si>
    <t>クビになった解体屋のおっさん、深夜のS級素材解体配信が人類最強に見つかる 〜まかない飯を出してたら、俺を切った大手クランが勝手に曇っていく〜</t>
  </si>
  <si>
    <t>https://kakuyomu.jp/works/2912051601692698929</t>
  </si>
  <si>
    <t>深夜2時、人類最強が並ぶ飯屋。店主はただの解体屋</t>
  </si>
  <si>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</si>
  <si>
    <t>現代ダンジョン|配信・動画投稿|飯テロ|追放ざまぁ|無自覚チート|おっさん主人公|曇らせ|AI本文利用</t>
  </si>
  <si>
    <t>『女になった俺は、放課後ひとりで迷宮に潜る』</t>
  </si>
  <si>
    <t>白峰ユラ</t>
  </si>
  <si>
    <t>https://kakuyomu.jp/works/2912051606146904100</t>
  </si>
  <si>
    <t>身体は女。中身は男のまま。放課後はひとりで迷宮へ。</t>
  </si>
  <si>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</si>
  <si>
    <t>TS|学園|高校生|迷宮|ソロ探索|ローファンタジー|性転換|精神的BL</t>
  </si>
  <si>
    <t>凝り性ダンジョンマスターの神運営　～レアドロップは"面白い条件"ほど割安になると気づいたので、俺のダンジョンを完成度で日本一にします～</t>
  </si>
  <si>
    <t>だらすく</t>
  </si>
  <si>
    <t>https://kakuyomu.jp/works/2912051605503235345</t>
  </si>
  <si>
    <t>ダンジョンは集客業。レアドロップは"面白い条件"ほど安くなる</t>
  </si>
  <si>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</si>
  <si>
    <t>現代ダンジョン|ダンジョン|ダンジョン配信|成り上がり|ダンジョン経営|掲示板|ダンジョンマスター|AI本文利用</t>
  </si>
  <si>
    <t>ダンジョンで拾った卵から生まれた少女に「ぱぱ」と懐かれたので育てることにした――なお、危険度は国家消滅級らしい</t>
  </si>
  <si>
    <t>https://kakuyomu.jp/works/2912051607151208161</t>
  </si>
  <si>
    <t>周り「絶対に刺激するな」少女「ぱぱ、だっこ」</t>
  </si>
  <si>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</si>
  <si>
    <t>ダンジョン|卵|銀髪美少女|擬似親子|最強少女|現代ファンタジー|AI補助|主人公成長</t>
  </si>
  <si>
    <t>魔王を倒して１５年、帰還した俺は異世界知識を活かして現代ダンジョンで無双する</t>
  </si>
  <si>
    <t>伊賀もっこす</t>
  </si>
  <si>
    <t>https://kakuyomu.jp/works/2912051600429339508</t>
  </si>
  <si>
    <t>異世界帰りのおじさんは、現代ダンジョンでも最強でした</t>
  </si>
  <si>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</si>
  <si>
    <t>現代ダンジョン|異世界帰還|ダンジョン配信|成り上がり|主人公最強|無双|ラブコメ|ハーレム</t>
  </si>
  <si>
    <t>【書籍化決定】はい、こちらダンジョン捜索隊！　～相棒のタヌキがうっかり記録用録画を配信したら、全世界でバズってしまいました～</t>
  </si>
  <si>
    <t>夢・風魔</t>
  </si>
  <si>
    <t>https://kakuyomu.jp/works/16818622174231824069</t>
  </si>
  <si>
    <t>これより要救助者の捜索を開始します。</t>
  </si>
  <si>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</si>
  <si>
    <t>現代ダンジョン|スキル|無自覚チート|動画配信|ダンジョン配信|視聴者コメント|ヒロインはタヌキ|コメディ要素強め</t>
  </si>
  <si>
    <t>人斬り高校生は普通の暮らしを送りたいのに、配信で永遠にバズり散らかしてしまう～信濃新陰流の最後の使い手？いやぁ、人違いじゃないですかね～</t>
  </si>
  <si>
    <t>イのカンア</t>
  </si>
  <si>
    <t>https://kakuyomu.jp/works/2912051604104950353</t>
  </si>
  <si>
    <t>ダンジョン配信が流行るようなこの現代で人斬り、ですかぁ？</t>
  </si>
  <si>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</si>
  <si>
    <t>現代ファンタジー|主人公最強|ダンジョン|配信|日本刀|男主人公|アノマリー|カクヨムオンリー</t>
  </si>
  <si>
    <t>世界最高峰の大賢者、失声症の少女に転生する</t>
  </si>
  <si>
    <t>パパ目</t>
  </si>
  <si>
    <t>https://kakuyomu.jp/works/2912051606752937307</t>
  </si>
  <si>
    <t>不器用でも、不便でも、この気持ちが伝わるのなら…</t>
  </si>
  <si>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</si>
  <si>
    <t>ライトノベル|主人公最強|TS転生|異世界転生|魔法|ガールズラブ|ダンジョン配信|無双</t>
  </si>
  <si>
    <t>異世界帰還者イッチちゃんねる〜異世界も魔法もあるんだよ！〜</t>
  </si>
  <si>
    <t>mitsuzo</t>
  </si>
  <si>
    <t>https://kakuyomu.jp/works/2912051605271543183</t>
  </si>
  <si>
    <t>異世界も魔法もあるんだよ。本当だよ？</t>
  </si>
  <si>
    <t>【祝・６万PV大感謝！】
【毎週火・金・日の週３投稿（7:00）】
「異世界の話とか誰でも聞きたいんじゃね？」
そんな思いつきから配信者（ライバー）になることを決意した
とある異世界帰還者イッチのお話。</t>
  </si>
  <si>
    <t>男主人公|異世界転生|無双|成り上がり|魔法|配信|掲示板|異世界帰還者</t>
  </si>
  <si>
    <t>俺だけ異世界転移していないらしい 〜異世界で俺と結婚した三人の嫁が、転移前の俺を必死に攻略してくる</t>
  </si>
  <si>
    <t>nayaminotake</t>
  </si>
  <si>
    <t>https://kakuyomu.jp/works/2912051605462941593</t>
  </si>
  <si>
    <t>俺だけが何も知らない。クラス全員、異世界帰りでした。</t>
  </si>
  <si>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</si>
  <si>
    <t>勘違い系主人公|チートヒロイン|最強クラスメート|異世界帰り（主人公以外）|ハーレム|異世界侵略者とのバトル|皆、主人公大好き</t>
  </si>
  <si>
    <t>双剣無頼 ～現代ダンジョンで雑魚狩りしてた底辺掃除屋、神話級の剣を手に入れてしまう。しかも二本～</t>
  </si>
  <si>
    <t>モモンガ・アイリス</t>
  </si>
  <si>
    <t>https://kakuyomu.jp/works/7667601420162999739</t>
  </si>
  <si>
    <t>探索者未満の掃除屋、神話級の剣を拾ってしまう。二本も。</t>
  </si>
  <si>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</si>
  <si>
    <t>主人公最強|現代ダンジョン|ダンジョン配信|探索者|勇者</t>
  </si>
  <si>
    <t>自宅に届いた『惑星開発キット』で、社畜SEは異世界工場の管理者になる ―United States Route―</t>
  </si>
  <si>
    <t>https://kakuyomu.jp/works/2912051606065515887</t>
  </si>
  <si>
    <t>異世界工場の面倒な運用保守は、アメリカ合衆国に丸投げします。</t>
  </si>
  <si>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</si>
  <si>
    <t>AI利用|工場長|チート|現代|男主人公|群像劇</t>
  </si>
  <si>
    <t>元パーティに置き去りにされた運び屋、配信切り忘れで実力バレ</t>
  </si>
  <si>
    <t>伊達ジン</t>
  </si>
  <si>
    <t>https://kakuyomu.jp/works/2912051603620131913</t>
  </si>
  <si>
    <t>荷物持ちの本気、全国配信中</t>
  </si>
  <si>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</si>
  <si>
    <t>男主人公|コメディ|ざまぁ|主人公最強|ハーレム|成り上がり|勘違い|配信</t>
  </si>
  <si>
    <t>妄想好きの僕に『妄想召喚』は相性が良すぎる～最弱の小動物たちを育てていたら、フェンリルやフェニックスに進化しました～</t>
  </si>
  <si>
    <t>もぐら</t>
  </si>
  <si>
    <t>https://kakuyomu.jp/works/2912051606424966053</t>
  </si>
  <si>
    <t>最初はただの小鳥や子犬。それがいつか、神話の怪物になる。</t>
  </si>
  <si>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</si>
  <si>
    <t>現代ファンタジー|ダンジョン|男主人公|テイマー|主人公最強候補|冒険者|成長|スキル</t>
  </si>
  <si>
    <t>妻と上司に裏切られ事故に遭った俺、異世界で魔王と戦い死んで帰還する ～42歳元勇者、現実世界のクズどもに負ける要素が何一つない～　（ベースは：中年オヤジは元勇者！　42歳から始まる勝ち組人生です）</t>
  </si>
  <si>
    <t>石のやっさん</t>
  </si>
  <si>
    <t>https://kakuyomu.jp/works/2912051605189339409</t>
  </si>
  <si>
    <t>本物の地獄を知る帰還勇者にこの世界の理不尽など一切通用しない</t>
  </si>
  <si>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</si>
  <si>
    <t>男主人公|ざまぁ|異世界帰還|おじさん|不倫|現実無双|AI補助利用</t>
  </si>
  <si>
    <t>寄生虫と行く現代ダンジョン</t>
  </si>
  <si>
    <t>＠脳タリン</t>
  </si>
  <si>
    <t>https://kakuyomu.jp/works/2912051602299065676</t>
  </si>
  <si>
    <t>選択肢は無い、バレる前に強くなれ</t>
  </si>
  <si>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</si>
  <si>
    <t>AI作品|寄生虫|ダンジョン|掲示板|現代|男主人公|30代|群像劇</t>
  </si>
  <si>
    <t>努力だけで超能力者になった俺、就職せずに人生舐めて生きる</t>
  </si>
  <si>
    <t>モモの樹</t>
  </si>
  <si>
    <t>https://kakuyomu.jp/works/2912051603404852422</t>
  </si>
  <si>
    <t>「才能?ないよ。13年やっただけ。だから遠慮なく人生楽しみます」</t>
  </si>
  <si>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</si>
  <si>
    <t>現代ファンタジー|超能力|主人公最強|チート|コメディ|俺TUEEE|スローライフ(?)|AI利用</t>
  </si>
  <si>
    <t>未登録の魔法少女</t>
  </si>
  <si>
    <t>浅川</t>
  </si>
  <si>
    <t>https://kakuyomu.jp/works/2912051604627841194</t>
  </si>
  <si>
    <t>世界にただ一人、協会に属さぬ魔法少女——その正体は、男子高校生。</t>
  </si>
  <si>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</si>
  <si>
    <t>魔法少女|バトルファンタジー|TS(性転換)|男性主人公|正体隠し|魔獣討伐|女性キャラ多め|二重生活</t>
  </si>
  <si>
    <t>地味冒険者は静かに生きる。</t>
  </si>
  <si>
    <t>湖水　鏡月</t>
  </si>
  <si>
    <t>https://kakuyomu.jp/works/2912051604101864087</t>
  </si>
  <si>
    <t>無茶はしない。ただ日銭が稼げれば。</t>
  </si>
  <si>
    <t>ある日、勤めている会社が倒産してしまった男、小南仁。
何を思ってか、唐突に冒険者として登録し、やっていくことになる。</t>
  </si>
  <si>
    <t>剣と魔法|ダンジョン</t>
  </si>
  <si>
    <t>オッサンは2周目を好きに生きる～日に一回の未来視と風魔法で人生は楽勝⁈</t>
  </si>
  <si>
    <t>だいきち</t>
  </si>
  <si>
    <t>https://kakuyomu.jp/works/2912051606676268246</t>
  </si>
  <si>
    <t>死んだオッサンが高校生に！風魔法と未来視で復讐と無双の青春を謳歌する</t>
  </si>
  <si>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</si>
  <si>
    <t>学園|おじさん|二周目|現代ファンタジー|現代に転生|ざまぁ|チート|AI補助利用</t>
  </si>
  <si>
    <t>迷宮の大図書館に2000年間引き籠っていた大賢者の僕、迷い込んできた美少女ダンジョン配信者に見つかってしまう～失われた古代魔法を使ったらコメント欄が大混乱に～</t>
  </si>
  <si>
    <t>善知鳥　朧</t>
  </si>
  <si>
    <t>https://kakuyomu.jp/works/2912051605211172550</t>
  </si>
  <si>
    <t>静かに本を読みたいだけなのに……世界が僕を見つけてしまった</t>
  </si>
  <si>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</si>
  <si>
    <t>配信|ダンジョン|主人公最強|掲示板|ギャップ|ざまぁ|現代ダンジョン|ダンジョン配信</t>
  </si>
  <si>
    <t>『世界を救った俺、帰還後の初仕事はダンジョン日雇いでした〜妹の治療費を稼ぎたいだけなのに、なぜか日本中が騒いでいる〜』</t>
  </si>
  <si>
    <t>料理長</t>
  </si>
  <si>
    <t>https://kakuyomu.jp/works/2912051602666180393</t>
  </si>
  <si>
    <t>国家戦力級と騒がれても、本人は妹のプリン代しか見ていない。</t>
  </si>
  <si>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</si>
  <si>
    <t>異世界帰り|成り上がり|胸糞|主人公最強|ダンジョン|現代ファンタジー|魔法|男主人公</t>
  </si>
  <si>
    <t>【悲報】遊び気分で厨二病ダンジョン配信者を始めたらバズってしまう。恥ずかしすぎるからたとえ幼馴染や家族だとしても絶対に正体がバレるわけにはいかない。</t>
  </si>
  <si>
    <t>https://kakuyomu.jp/works/2912051604394129142</t>
  </si>
  <si>
    <t>助けた人が実は超人気配信者で俺の大捜索が始まってるんだけど！？！？</t>
  </si>
  <si>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</si>
  <si>
    <t>ダンジョン配信|主人公最強|掲示板|妹|幼馴染|中二病|バレたくない(バレてます)|ヤンデレ</t>
  </si>
  <si>
    <t>ステッキを拾った。魔法少女になった（３０代男性）。</t>
  </si>
  <si>
    <t>稲荷竜</t>
  </si>
  <si>
    <t>https://kakuyomu.jp/works/2912051605689984510</t>
  </si>
  <si>
    <t>３０代無職、魔法少女になる。</t>
  </si>
  <si>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</si>
  <si>
    <t>おっさん主人公|魔法少女|TS（変身）|掲示板回あり|第32回スニーカー大賞</t>
  </si>
  <si>
    <t>『【多重連撃（威力1/10）】はゴミスキル？ ——いいえ、固定ダメージを10倍叩き込む神バグです』 〜聖女の幼馴染に打算で捨てられた俺、100円の産廃装備と鉄球で100万ダメージ叩き出して無双する〜</t>
  </si>
  <si>
    <t>ぺんぢる</t>
  </si>
  <si>
    <t>https://kakuyomu.jp/works/2912051604816728311</t>
  </si>
  <si>
    <t>攻撃力90%カットのゴミ？いいえ、固定ダメ10倍の神バグです</t>
  </si>
  <si>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</si>
  <si>
    <t>​成り上がり|男主人公|ざまぁ|不遇スキル|幼馴染|固定ダメージ|産廃装備|学園</t>
  </si>
  <si>
    <t>異世界帰還指示厨おじさん</t>
  </si>
  <si>
    <t>二時間十秒</t>
  </si>
  <si>
    <t>https://kakuyomu.jp/works/2912051606277510593</t>
  </si>
  <si>
    <t>おじさんをブロックするか頼るか、それが問題だ　――ある探索者</t>
  </si>
  <si>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</si>
  <si>
    <t>主人公最強|現代ダンジョン|勘違い|配信|厄介|異世界知識|異世界帰り|男主人公</t>
  </si>
  <si>
    <t>「画面映えしない」とS級配信パーティを追放された荷物持ち、最深部でヤケクソキャンプ飯を作ったら神話級の魔狼王が餌付けされた〜配信切り忘れで世界中が熱狂する中、もふもふ神獣とスローライフを満喫中〜</t>
  </si>
  <si>
    <t>@0m0chi_petit</t>
  </si>
  <si>
    <t>https://kakuyomu.jp/works/2912051605778147354</t>
  </si>
  <si>
    <t>えっ、ただのまかない飯を食べただけでS級ボスの呪いが解けるんですか！？</t>
  </si>
  <si>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</si>
  <si>
    <t>現代ダンジョン|ダンジョン配信|追放ざまぁ|飯テロ|無自覚チート|もふもふ|スローライフ|AIhonbunsiyou</t>
  </si>
  <si>
    <t>一般人の僕は最強の幼なじみ達パーティを抜け出したい</t>
  </si>
  <si>
    <t>薄明常世</t>
  </si>
  <si>
    <t>https://kakuyomu.jp/works/2912051605998132378</t>
  </si>
  <si>
    <t>僕、一般人なんですけど</t>
  </si>
  <si>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</si>
  <si>
    <t>演奏|配信|ダンジョン|魔法|周りが強い</t>
  </si>
  <si>
    <t>【悲報】お嬢様系底辺ダンジョン配信者、配信切り忘れに気づかず同業者をボコってしまう～けど相手が若手最強の迷惑系配信者だったらしく動画がアホほどバズって伝説になってますわ!?</t>
  </si>
  <si>
    <t>ドラゴンタニシ</t>
  </si>
  <si>
    <t>https://kakuyomu.jp/works/16817330658027210412</t>
  </si>
  <si>
    <t>規格外エセお嬢様の現代ダンジョン無双バズ！【書籍５巻発売中ですの！】</t>
  </si>
  <si>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</si>
  <si>
    <t>ダンジョン|配信|コメディ|無双|主人公最強|女主人公|掲示板|カクヨムオンリー</t>
  </si>
  <si>
    <t>世界樹ダンジョンで囮にされた僕、風精霊と同化して銀髪美少女へ 〜学園では落ちこぼれDクラスなのに、配信者を救いまくっていたらネットの神になっていた件〜</t>
  </si>
  <si>
    <t>あかぱん</t>
  </si>
  <si>
    <t>https://kakuyomu.jp/works/2912051607259346472</t>
  </si>
  <si>
    <t>落ちこぼれDクラスの銀髪美少女、実は同接200万の救世主でした</t>
  </si>
  <si>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</si>
  <si>
    <t>TS|ダンジョン配信|追放|ざまぁ|学園|女体化|主人公最強|ガールズラブ</t>
  </si>
  <si>
    <t>『引きこもり魔道士、現実のダンジョンでも最強でした……ただし本人だけ気づいてません』</t>
  </si>
  <si>
    <t>うちお</t>
  </si>
  <si>
    <t>https://kakuyomu.jp/works/2912051605570028912</t>
  </si>
  <si>
    <t>「ダンジョンより怖いのは、冷蔵庫が空っぽなこと。」</t>
  </si>
  <si>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</si>
  <si>
    <t>引きこもり主人公|ゲーム廃人|コメディ|無自覚無双|本人だけ気づいていない|食料品ダンジョン|ほのぼの|AI本文利用</t>
  </si>
  <si>
    <t>祝小説フォロー800人及び4万PV達成！！！最強探索者、配信者のマネージャーになる</t>
  </si>
  <si>
    <t>はっちゃん</t>
  </si>
  <si>
    <t>https://kakuyomu.jp/works/2912051605508521275</t>
  </si>
  <si>
    <t>貯金ないなぁ…どこかに就職しなきゃ…</t>
  </si>
  <si>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</si>
  <si>
    <t>ダンジョン|配信|主人公最強|マネージャー|現代ファンタジー|社畜|推し活</t>
  </si>
  <si>
    <t>TCG能力《創世札典》を手に入れた俺、一日一マナから現代社会を攻略する～治療、未来予知、若返り。マナが足りないので山を買います～</t>
  </si>
  <si>
    <t>https://kakuyomu.jp/works/2912051604996628001</t>
  </si>
  <si>
    <t>一日一マナ。最初に治したのは、肩こりだった。</t>
  </si>
  <si>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</si>
  <si>
    <t>AI利用|現代社会|魔法|チート|TCG|主人公以外は現代社会</t>
  </si>
  <si>
    <t>レベル上げ厨、ダンジョンで無双する</t>
  </si>
  <si>
    <t>天然水珈琲</t>
  </si>
  <si>
    <t>https://kakuyomu.jp/works/16818093094570180426</t>
  </si>
  <si>
    <t>【書籍化！】レベルアップ気持ち良すぎだろ！！</t>
  </si>
  <si>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</si>
  <si>
    <t>現代ダンジョン|ステータス|スキル|レベル上げ|ダンジョン配信|掲示板|やがて最強|魔法</t>
  </si>
  <si>
    <t>かなで日和〜TS転生した私、神様にもらった才能で好きなことを配信します〜</t>
  </si>
  <si>
    <t>https://kakuyomu.jp/works/2912051606726854072</t>
  </si>
  <si>
    <t>歌って、遊んで、作って。二度目の人生は、今日も楽しい。</t>
  </si>
  <si>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</si>
  <si>
    <t>TS転生|配信者|主人公最強|掲示板・SNS|ほのぼの|AI本文利用</t>
  </si>
  <si>
    <t>推しの救助費は六千万円。払えるわけない限界無職女は100均ホウキ一本で女性アイドル配信者を助けに行く　～六畳間ダンジョンを毎日掃除していたら最強になってました～</t>
  </si>
  <si>
    <t>羽黒楓</t>
  </si>
  <si>
    <t>https://kakuyomu.jp/works/2912051604238555073</t>
  </si>
  <si>
    <t>限界無職女、探索者レーティングと百合ピラミッドの頂点に立つ。</t>
  </si>
  <si>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</si>
  <si>
    <t>百合|主人公最強|女主人公|掲示板|リョナ|現代ダンジョン|配信|無自覚最強</t>
  </si>
  <si>
    <t>【書籍発売】汝、現代ダンジョンに希望を持つべからず</t>
  </si>
  <si>
    <t>鋼我</t>
  </si>
  <si>
    <t>https://kakuyomu.jp/works/16818622171979183070</t>
  </si>
  <si>
    <t>底辺ダンジョン管理業、時給３００円スタート（自営業）。</t>
  </si>
  <si>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</si>
  <si>
    <t>ダンジョン|魔法|モンスター|成り上がり</t>
  </si>
  <si>
    <t>ブラック企業にすり減らされた社畜が主人公になれるアプリを手にしたらどうなるか→</t>
  </si>
  <si>
    <t>ぱちぱち</t>
  </si>
  <si>
    <t>https://kakuyomu.jp/works/2912051598302021721</t>
  </si>
  <si>
    <t>まるで物語の主人公になったかのような没入感を貴方に！（強制）</t>
  </si>
  <si>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</si>
  <si>
    <t>男主人公|現代|チート|ざまぁ|日常|ご都合主義|配信|復讐</t>
  </si>
  <si>
    <t>山を買って古民家スローライフ　〜精霊たちと暮らすDIYな田舎暮らし〜</t>
  </si>
  <si>
    <t>猫野いちば</t>
  </si>
  <si>
    <t>https://kakuyomu.jp/works/2912051604840342790</t>
  </si>
  <si>
    <t>精霊とDIY、山と古民家。ときどき、異世界の村を救っているらしい。</t>
  </si>
  <si>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</si>
  <si>
    <t>スローライフ|異世界|ほのぼの|もふもふ|精霊|ざまぁなし|日常|万人向け</t>
  </si>
  <si>
    <t>神様にもらった回復チートで荒稼ぎしてたら、普通に脱税で捕まりました</t>
  </si>
  <si>
    <t>https://kakuyomu.jp/works/2912051602852202914</t>
  </si>
  <si>
    <t>回復と鑑定のチートで大儲け。最後の敵は、国税だった。</t>
  </si>
  <si>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</si>
  <si>
    <t>チート|成り上がり|現代ファンタジー|ざまぁ|ストレスフリー|主人公最強|鑑定|AI利用</t>
  </si>
  <si>
    <t>人間不信の錬金術師 〜捨てられた少年は最高の術師に至り、人の道を外れる〜</t>
  </si>
  <si>
    <t>澄元信弘</t>
  </si>
  <si>
    <t>https://kakuyomu.jp/works/2912051600635406189</t>
  </si>
  <si>
    <t>【40万PV感謝です！】人間は裏切る。だから信じられる者を創る。</t>
  </si>
  <si>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</si>
  <si>
    <t>カクヨムオンリー|ざまぁ|男主人公|ハーレム|ダンジョン|主人公最強|追放|AI補助利用</t>
  </si>
  <si>
    <t>【微エロ注意】異世界で最強になった俺、《解析》しかできない無能だと思われている～見た能力をコピー・改造して現代ダンジョンでも無双する～</t>
  </si>
  <si>
    <t>ぽんぽこ7/24発売開始！</t>
  </si>
  <si>
    <t>https://kakuyomu.jp/works/2912051606369911202</t>
  </si>
  <si>
    <t>異世界帰還者、正体を隠してダンジョン経営はじめます。</t>
  </si>
  <si>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</si>
  <si>
    <t>ダンジョン|経営|えっち|エロ|ハーレム|主人公最強|チート</t>
  </si>
  <si>
    <t>外れスキル【分身】は装備も増やせたので、追放された俺は一人軍隊でダンジョン配信したら企業案件が止まりません</t>
  </si>
  <si>
    <t>月影光貴</t>
  </si>
  <si>
    <t>https://kakuyomu.jp/works/2912051605863902588</t>
  </si>
  <si>
    <t>科学と魔法が組み合い、ハズレスキル【分身】で一人軍隊のダンジョン配信！</t>
  </si>
  <si>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</si>
  <si>
    <t>ダンジョン|配信|ハズレスキル/外れスキル|追放|ハーレム|成長|ざまぁ|チート</t>
  </si>
  <si>
    <t>ダンジョンの最下層に落ちた俺は神からいただいたスキルで最強になる･･････のに周りから化け物扱いなんだけど!?</t>
  </si>
  <si>
    <t>ドラゴロイド</t>
  </si>
  <si>
    <t>https://kakuyomu.jp/works/2912051607190955051</t>
  </si>
  <si>
    <t>突如足元が崩落→ダンジョンの最下層に落ちる→結果、化け物誕生</t>
  </si>
  <si>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</si>
  <si>
    <t>ダンジョン|主人公最強|現代|魔法|破壊</t>
  </si>
  <si>
    <t>超成長スキルを持って転生したけど、生まれる場所を間違えた</t>
  </si>
  <si>
    <t>暁刀魚</t>
  </si>
  <si>
    <t>https://kakuyomu.jp/works/2912051606210888143</t>
  </si>
  <si>
    <t>世界でただ一人妖魔を鏖殺できるムキムキと、翻弄される世界</t>
  </si>
  <si>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</si>
  <si>
    <t>主人公最強|コメディ|勘違い</t>
  </si>
  <si>
    <t>貧乏家族の長男はやがて『魔王』に成り上がる</t>
  </si>
  <si>
    <t>城野白</t>
  </si>
  <si>
    <t>https://kakuyomu.jp/works/16818622170990767935</t>
  </si>
  <si>
    <t>【書籍化】金がないので装備は無課金、魔法を極めてダンジョンをごり押す</t>
  </si>
  <si>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</si>
  <si>
    <t>カクヨムオンリー|妹|ダンジョン|努力で最強|金策|長男|家族想い|お姉さん</t>
  </si>
  <si>
    <t>【４章開始】世間がレベルだのダンジョンだの騒ぐ中、廃ゲーマーの俺は只々実績を狙っていく〜実績獲得に世界初達成報酬があるとか聞いてないんだけど〜</t>
  </si>
  <si>
    <t>https://kakuyomu.jp/works/2912051600328843655</t>
  </si>
  <si>
    <t>【４章開始🎉】 おい、実績って早い者勝ちだったのかよ。</t>
  </si>
  <si>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</si>
  <si>
    <t>ダンジョン|成り上がり|ざまぁ|主人公最強|カクヨムオンリー|ゲーム要素|覚醒者</t>
  </si>
  <si>
    <t>悪役令嬢（本物）ですが、現代ダンジョンで高飛車に配信したらツンデレお嬢様と崇められてスパチャが止まりませんわ！</t>
  </si>
  <si>
    <t>冰藍雷夏(ヒョウアイライカ)</t>
  </si>
  <si>
    <t>https://kakuyomu.jp/works/2912051607190318771</t>
  </si>
  <si>
    <t>この汚ねえアンチコメントは何ですの？</t>
  </si>
  <si>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</si>
  <si>
    <t>悪役令嬢配信者|ダンジョン|ですわ|成り上がり|配信|短編シリーズ|たぶん短編</t>
  </si>
  <si>
    <t>【悲報】ダンジョン配信者ヲタクの私、最推しを襲う災害級モンスターをワンパンで瞬殺し、大バズりしてしまう</t>
  </si>
  <si>
    <t>針谷慶太@『雑魚鍛冶』書籍&amp;コミカライズ</t>
  </si>
  <si>
    <t>https://kakuyomu.jp/works/2912051600274575391</t>
  </si>
  <si>
    <t>最強のヲタクが、推しの配信者たちに囲まれるお話</t>
  </si>
  <si>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</si>
  <si>
    <t>ダンジョン配信|探索者|女主人公|ヲタク|バズり|主人公最強|掲示板</t>
  </si>
  <si>
    <t>FPSのUIが現実に見える俺が、いつの間にか殺し屋になるまで</t>
  </si>
  <si>
    <t>鳥獣跋扈</t>
  </si>
  <si>
    <t>https://kakuyomu.jp/works/2912051596347777094</t>
  </si>
  <si>
    <t>おかしい、いつの間に殺し屋になってないか？</t>
  </si>
  <si>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</si>
  <si>
    <t>殺し屋|FPS|チート</t>
  </si>
  <si>
    <t>〝金銀花〟は止まらない</t>
  </si>
  <si>
    <t>白神 怜司</t>
  </si>
  <si>
    <t>https://kakuyomu.jp/works/16818622173230370861</t>
  </si>
  <si>
    <t>【コミカライズ連載予定】オタク少女と反骨精神溢れるギャル達が開拓する</t>
  </si>
  <si>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</si>
  <si>
    <t>女主人公|カクヨム先行|反骨精神のギャル|オタクとギャル|いずれは最強|配信|現代ダンジョン|主人公はヤベーヤツ</t>
  </si>
  <si>
    <t>新規ランクイン</t>
  </si>
  <si>
    <t>ダンジョン配信に映り込むピクトグラムの怪異になった</t>
  </si>
  <si>
    <t>https://kakuyomu.jp/works/2912051606788687244</t>
  </si>
  <si>
    <t>困った時、危ない時にひょっこり登場</t>
  </si>
  <si>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</si>
  <si>
    <t>ダンジョン|配信|ピクトグラム|人外|掲示板|AI作品|現代ダンジョン</t>
  </si>
  <si>
    <t>魔剣を拾ったら中身が飯にしか興味のない生意気少女だった　〜無限の魔力と空間魔法でダンジョン無双〜</t>
  </si>
  <si>
    <t>竜刃丸</t>
  </si>
  <si>
    <t>https://kakuyomu.jp/works/2912051604673684115</t>
  </si>
  <si>
    <t>「力が欲しいか‼︎ 力が欲しいなら……飯をくれ!」</t>
  </si>
  <si>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</si>
  <si>
    <t>成り上がり|主人公最強|チート|ダンジョン|飯テロ|ざまぁ|配信/掲示板|AI補助利用</t>
  </si>
  <si>
    <t>大切な家族を守ります　世界崩壊サバイバル ～俺だけドロップテーブルが見える～</t>
  </si>
  <si>
    <t>https://kakuyomu.jp/works/2912051607326206740</t>
  </si>
  <si>
    <t>食料も、薬も、おむつも。今は魔物から手に入れろ！</t>
  </si>
  <si>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</si>
  <si>
    <t>世界崩壊|サバイバル|愛する家族|レベルアップ|ドロップ|レア装備</t>
  </si>
  <si>
    <t>外れスキル《強化》は、倒した魔物の特性を吸収する 〜同接三人の底辺探索者、銀座ダンジョン配信で成り上がる〜</t>
  </si>
  <si>
    <t>夕暮れ</t>
  </si>
  <si>
    <t>https://kakuyomu.jp/works/2912051603538764208</t>
  </si>
  <si>
    <t>外れ扱いされた《強化》は、魔物の特性を吸収する成長スキルだった。</t>
  </si>
  <si>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</si>
  <si>
    <t>ダンジョン|成り上がり|外れスキル|探索者|配信|現代ダンジョン|コメント欄|AI本文利用</t>
  </si>
  <si>
    <t>【書籍化！】　ま！　よ！　け！　の！　塩！　（１２０年分）</t>
  </si>
  <si>
    <t>哀森賢人／哀しみを背負ったゴリラ</t>
  </si>
  <si>
    <t>https://kakuyomu.jp/works/16818093076856145897</t>
  </si>
  <si>
    <t>少女を【モリガミサマ】から助ける為に少年は体から塩を出した。</t>
  </si>
  <si>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</si>
  <si>
    <t>ホラー|オカルト|都市伝説|怪談|怪異|うす塩|ヤンデレ|コメディ</t>
  </si>
  <si>
    <t>【書籍化】最強以外ありえない</t>
  </si>
  <si>
    <t>てんぞー</t>
  </si>
  <si>
    <t>https://kakuyomu.jp/works/822139845517663944</t>
  </si>
  <si>
    <t>―――遺産は最初にSランクマスターに至った俺の血を引く孫のものとする。</t>
  </si>
  <si>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</si>
  <si>
    <t>架空原作|育成|牧場|ダンジョン|合体|掲示板|転生|成長</t>
  </si>
  <si>
    <t>ユニークスキル『箱庭ガチャ』でハーレム＆スローライフ！〜集まったのはなぜか子供と老人とおっさんでした〜</t>
  </si>
  <si>
    <t>砂糖</t>
  </si>
  <si>
    <t>https://kakuyomu.jp/works/2912051601796271626</t>
  </si>
  <si>
    <t>まさか勝負パンツのお陰でSランク冒険者が助かった……！？</t>
  </si>
  <si>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</si>
  <si>
    <t>スローライフ|箱庭ガチャ|お仕事|男主人公|ポンコツ|街づくり|ほのぼの日常|勘違いコメディ</t>
  </si>
  <si>
    <t>『転生したのに転移で地球に戻っちゃった?!　しかも何故43歳?!　王国の魔法革命児 〜爆鳴の鬼と呼ばれた男Ⅱ』</t>
  </si>
  <si>
    <t>https://kakuyomu.jp/works/2912051605849299462</t>
  </si>
  <si>
    <t>転生したのに現代へ転移?! しかも主人公は転生前のオジサンに?!</t>
  </si>
  <si>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</si>
  <si>
    <t>おっさん|魔法|異世界転生|ハーレム|現代ファンタジー|異世界帰還|AI補助利用</t>
  </si>
  <si>
    <t>魔王を倒したおっさん、三十年ぶりに日本へ帰還し現代ダンジョンで無双する ～今どきダンジョン攻略も科学の時代らしいけど、おじさんは昔ながらに剣と魔法で戦うよ～</t>
  </si>
  <si>
    <t>厳座励主（ごんざれす）</t>
  </si>
  <si>
    <t>https://kakuyomu.jp/works/2912051605598246153</t>
  </si>
  <si>
    <t>S級ダンジョン？　おじさんにはちょっと物足りないなあ</t>
  </si>
  <si>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</si>
  <si>
    <t>カクヨムオンリー|イケオジ|おっさん|剣と魔法|現代ダンジョン|ダンジョン配信|チート|無双</t>
  </si>
  <si>
    <t>ダンジョン配信のカメラマンをしている俺、S級美少女配信者が全滅しかけたので画角の外でボスを瞬殺したら、全部生放送に映っていました</t>
  </si>
  <si>
    <t>沢田美</t>
  </si>
  <si>
    <t>https://kakuyomu.jp/works/2912051606113383940</t>
  </si>
  <si>
    <t>「戦えないとは一度も言っていません」―カメラが捉えた最強のカメラマン</t>
  </si>
  <si>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</si>
  <si>
    <t>ダンジョン配信|主人公最強|成り上がり|配信|美少女|勘違い|無双|規格外</t>
  </si>
  <si>
    <t>就職氷河期オブ・ザ・デッド　～世界は酷い有様だけど、異世界で魔王を倒した用務員のおじさんがモテモテに。なお、世界が救われるかは不明～</t>
  </si>
  <si>
    <t>Ｙ．Ａ</t>
  </si>
  <si>
    <t>https://kakuyomu.jp/works/2912051602077226807</t>
  </si>
  <si>
    <t>ゾンビ溢れる世界で、就職氷河期おじさんがモテモテに</t>
  </si>
  <si>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</si>
  <si>
    <t>ゾンビ|魔法|チート|ハーレム|グルメ|内政|現代|就職氷河期</t>
  </si>
  <si>
    <t>男女比1:100の貞操逆転世界でヒーラーとして生きたい！</t>
  </si>
  <si>
    <t>智者猫</t>
  </si>
  <si>
    <t>https://kakuyomu.jp/works/2912051605640458336</t>
  </si>
  <si>
    <t>男女比1:100の貞操逆転世界だけど、僕は女の子を助けるために―――</t>
  </si>
  <si>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</si>
  <si>
    <t>男性向け|学園|貞操逆転|男女比|魔法|ダンジョン|ヒーラー</t>
  </si>
  <si>
    <t>魔女だらけのレストランで働いてるけど毎日死にそう（でも飯が美味いので辞められない）</t>
  </si>
  <si>
    <t>タカザ</t>
  </si>
  <si>
    <t>https://kakuyomu.jp/works/2912051597609166733</t>
  </si>
  <si>
    <t>週休二日。サボりのペナルティは死。</t>
  </si>
  <si>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</si>
  <si>
    <t>男主人公|一人称|魔女|レストラン|グルメ|料理|コメディ|人外ヒロイン</t>
  </si>
  <si>
    <t>深夜のダンジョン清掃バイト中、俺だけ「消えたドロップ」が拾えるようになった〜拾った小石が査定額420万円、ついでに救助配信が同接50万でした〜</t>
  </si>
  <si>
    <t>魔王源</t>
  </si>
  <si>
    <t>https://kakuyomu.jp/works/2912051604233963941</t>
  </si>
  <si>
    <t>拾った小石が420万円。消えたドロップは、俺だけが拾える。</t>
  </si>
  <si>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</si>
  <si>
    <t>AI本文利用|ダンジョン|現代ダンジョン|配信|成り上がり|兄妹|毎日更新|完結済</t>
  </si>
  <si>
    <t>最悪な人生を歩んでいた男のやり直し～過去に戻ったら、ダンジョンがあるんだが?～</t>
  </si>
  <si>
    <t>https://kakuyomu.jp/works/822139845421536345</t>
  </si>
  <si>
    <t>俺はもう後悔をしたくない!!→ダンジョンサイコー!!</t>
  </si>
  <si>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</si>
  <si>
    <t>学園|青春|やり直し|主人公最強(徐々に)|努力|精霊|ダンジョン|不信</t>
  </si>
  <si>
    <t>『帰還したらギルドが日本にありました』神鑑定極で思考が分かって困っています。</t>
  </si>
  <si>
    <t>https://kakuyomu.jp/works/2912051602358852229</t>
  </si>
  <si>
    <t>「知りたくない本音まで見えてしまう最強の目。」</t>
  </si>
  <si>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</si>
  <si>
    <t>神鑑定極|異世界帰り|師匠|主人公最強|おばちゃん最強|AI補助利用|クスッと笑える|ほのぼの</t>
  </si>
  <si>
    <t>『ゴミスキル【調理】で追放された俺、モンスター料理で最強になる～ダンジョン飯配信を始めたら世界中が腹を空かせて待っている～』</t>
  </si>
  <si>
    <t>@takamatuhorihori</t>
  </si>
  <si>
    <t>https://kakuyomu.jp/works/2912051605171684401</t>
  </si>
  <si>
    <t>最弱料理人の飯テロ配信が、世界の常識を変えていく！</t>
  </si>
  <si>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</si>
  <si>
    <t>ダンジョン配信|主人公最強|モンスター料理|飯テロ|追放ざまぁ|掲示板回|AI本文使用</t>
  </si>
  <si>
    <t>伝奇鬱ゲーの才能のないモブに転生したけど、推しの負けヒロインを救うために努力して最強を目指します</t>
  </si>
  <si>
    <t>マッソー！</t>
  </si>
  <si>
    <t>https://kakuyomu.jp/works/2912051606142407028</t>
  </si>
  <si>
    <t>最低ランクのモブ陰陽師なので、努力だけで推しの死亡ルートを攻略します</t>
  </si>
  <si>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</si>
  <si>
    <t>成り上がり|主人公最弱|陰陽師|努力|掲示板|曇らせ|激重感情|ヤンデレ</t>
  </si>
  <si>
    <t>ハズレスキル【キャンプ設営】を授かった……追放されたわけじゃないけど、戦えないのでキャンプしてたら、安全地帯を作れるチートスキルだった</t>
  </si>
  <si>
    <t>ＡＮ＠ＲＣＨＹ</t>
  </si>
  <si>
    <t>https://kakuyomu.jp/works/2912051597492612020</t>
  </si>
  <si>
    <t>自由を楽しむために、俺は今日もテントを張る</t>
  </si>
  <si>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</si>
  <si>
    <t>ハズレスキル|キャンプ|ダンジョン|現代ファンタジー|生産系|スローライフ風|配信|ＡＩ補助利用</t>
  </si>
  <si>
    <t>貞操逆転世界で没落お嬢様のダンジョン配信を裏方で手伝っていたら、従者の俺がバズりました ～男女比1:9の世界では男が女を守るのは珍しいらしい～</t>
  </si>
  <si>
    <t>たけのこ</t>
  </si>
  <si>
    <t>https://kakuyomu.jp/works/2912051607243871368</t>
  </si>
  <si>
    <t>守られるのが男の常識？　俺はお嬢様を守る従者ですが。</t>
  </si>
  <si>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</si>
  <si>
    <t>貞操逆転|勘違い|ハーレム|配信|あべこべ|現代ダンジョン|お嬢様</t>
  </si>
  <si>
    <t>住んでる場所が田舎すぎて、ダンジョン探索者が俺一人なんだが？【書籍3巻発売中！】</t>
  </si>
  <si>
    <t>赤月ヤモリ</t>
  </si>
  <si>
    <t>https://kakuyomu.jp/works/16817330661274615404</t>
  </si>
  <si>
    <t>「仲間？　他の探索者？　そんなの居ないよ。ここは田舎だからね」</t>
  </si>
  <si>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</si>
  <si>
    <t>ダンジョン|ハーレム|主人公最強|配信|掲示板|人妻|コメディ</t>
  </si>
  <si>
    <t>ウチの山に異世界の騎士が落ちてきた</t>
  </si>
  <si>
    <t>道造</t>
  </si>
  <si>
    <t>https://kakuyomu.jp/works/2912051606816175074</t>
  </si>
  <si>
    <t>ウチの山に異世界の騎士が落ちてきた話</t>
  </si>
  <si>
    <t>タイトルまんま。イケオジ小説コンテスト期間中、午後7時更新
ハーメルンでも掲載しています</t>
  </si>
  <si>
    <t>女主人公|ライトノベル|騎士|現代転送|コメディ|女性向け|成り上がり|因習村</t>
  </si>
  <si>
    <t>推しにささげるダンジョングルメ〜最強探索者VTuberになる〜</t>
  </si>
  <si>
    <t>モノクロウサギ</t>
  </si>
  <si>
    <t>https://kakuyomu.jp/works/16817330649436334413</t>
  </si>
  <si>
    <t>書籍版5巻　4月30日に発売いたします!!　もう買えるので是非!!</t>
  </si>
  <si>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</si>
  <si>
    <t>VTuber|ダンジョン|主人公最強|飯テロ|スレ|配信|スキル|ハーレム</t>
  </si>
  <si>
    <t>異世界ファンタジー</t>
  </si>
  <si>
    <t>鎧騎兵、走る～大好きなロボット作品っぽい世界に転生したけど、プロローグで滅ぶ場所にいます。生き残りたい！　すごく生き残りたい！！～</t>
  </si>
  <si>
    <t>秋津　モトノブ</t>
  </si>
  <si>
    <t>https://kakuyomu.jp/works/2912051605955633703</t>
  </si>
  <si>
    <t>原作知識で無双したいのに、原作が始まる前に死ぬかもしれん。</t>
  </si>
  <si>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</si>
  <si>
    <t>異世界転生|ロボット|成りあがり|一人称|エルフ|男性主人公|知識チート</t>
  </si>
  <si>
    <t>【日間34万PV】過労死寸前で会社をクビになった俺、悪役貴族に転生し三年後に処刑されるまで好き放題やる ～使い潰された有能な美少女奴隷を安く買い叩いていたら、なぜか神待遇と喜ばれ忠誠を誓われる～</t>
  </si>
  <si>
    <t>NIKE</t>
  </si>
  <si>
    <t>https://kakuyomu.jp/works/2912051606315298034</t>
  </si>
  <si>
    <t>【第三章】三年後に処刑？　なら酒も金も女も、今のうち好き放題してやる！</t>
  </si>
  <si>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</si>
  <si>
    <t>異世界転生|悪役貴族|おっさん主人公|勘違い|ざまぁ|領地経営|訳あり人材|ハーレム</t>
  </si>
  <si>
    <t>田舎の魔剣鍛冶、都会に来たら神童だった  ～ダメ元で名門校を受けたら、大魔導皇学部とかいう凄いのに受かった～</t>
  </si>
  <si>
    <t>俺の水ぜんぶ抜く</t>
  </si>
  <si>
    <t>https://kakuyomu.jp/works/2912051599406264044</t>
  </si>
  <si>
    <t>研究費使い放題。授業、国家防衛。</t>
  </si>
  <si>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</si>
  <si>
    <t>異世界転生|学園|カクヨムオンリー|主人公最強|魔剣|鍛冶|コメディ|成長</t>
  </si>
  <si>
    <t>１０歳から始める冒険者生活</t>
  </si>
  <si>
    <t>霜月雹花</t>
  </si>
  <si>
    <t>https://kakuyomu.jp/works/2912051605905477135</t>
  </si>
  <si>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</si>
  <si>
    <t>男主人公|ステータス|スキル|剣と魔法|ダンジョン|冒険者</t>
  </si>
  <si>
    <t>異世界転移した料理人ですが、帝都の路地裏で定食屋を開いたら、帝国の女帝が毎日お忍びで食べに来るようになりました</t>
  </si>
  <si>
    <t>カバルドン</t>
  </si>
  <si>
    <t>https://kakuyomu.jp/works/2912051605756085920</t>
  </si>
  <si>
    <t>「こんな美味しいご飯は初めてだ……」女帝が路地裏の定食屋に堕ちる。</t>
  </si>
  <si>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</si>
  <si>
    <t>異世界|グルメ|王女|飯テロ|料理人|癒し|男主人公|チートなし</t>
  </si>
  <si>
    <t>ヤニ好きの底辺オッサン冒険者。実は最大最強クランの元クランマスター。</t>
  </si>
  <si>
    <t>巌本ムン</t>
  </si>
  <si>
    <t>https://kakuyomu.jp/works/2912051603716028250</t>
  </si>
  <si>
    <t>タバコは人生だ。（大勢の敵に囲まれた中で余裕でタバコを吸うオッサン）</t>
  </si>
  <si>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</si>
  <si>
    <t>オッサン|冒険者|クラン|煙草|ハードボイルド|無双|主人公最強|男主人公</t>
  </si>
  <si>
    <t>四人の天才妹を虐げ続けた兄、英雄となった妹たちに断罪される</t>
  </si>
  <si>
    <t>https://kakuyomu.jp/works/2912051606302075193</t>
  </si>
  <si>
    <t>世界を救った四姉妹は、最低の兄を許さない</t>
  </si>
  <si>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</si>
  <si>
    <t>異世界ファンタジー|シリアス|サスペンス|至って真面目|四姉妹|手加減を知らない兄|ちょっと恥ずかしい迷作|AI本文一部利用</t>
  </si>
  <si>
    <t>杖と剣の異世界に舞い降りた天才〜片田舎の少年は王都で神童となりて〜</t>
  </si>
  <si>
    <t>御子柴奈々</t>
  </si>
  <si>
    <t>https://kakuyomu.jp/works/2912051606967540258</t>
  </si>
  <si>
    <t>片田舎に眠っていた天才が解き放たれる</t>
  </si>
  <si>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</si>
  <si>
    <t>異世界転生|主人公最強|天才|才能|剣と魔法|スキル|ハーレム</t>
  </si>
  <si>
    <t>めちゃくちゃ強靭な身体に転生したので、凡才だけど魔法極めてみた</t>
  </si>
  <si>
    <t>あおぞら@『無限再生』9月13日頃発売！</t>
  </si>
  <si>
    <t>https://kakuyomu.jp/works/2912051603504957531</t>
  </si>
  <si>
    <t>身体が超強い代わりに魔法が超強い奴</t>
  </si>
  <si>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</si>
  <si>
    <t>主人公いずれ最強|主人公おかしい|コメディー|ラブコメあり|魔法|モンスター</t>
  </si>
  <si>
    <t>クラス転移で追放されたハズレ職〝回収士〟の俺は、捨てられた物ほど強く直せる。～聖女の幼馴染と魔境を楽園に変えてスローライフを満喫していたら、陽キャ勇者たちが戻ってこいと言い出した。もう遅い～</t>
  </si>
  <si>
    <t>九条蓮@MF文庫J『#壊れ君』発売中！</t>
  </si>
  <si>
    <t>https://kakuyomu.jp/works/2912051606104373978</t>
  </si>
  <si>
    <t>捨てられた俺には、捨てられたものすべてを最強にする力があった。</t>
  </si>
  <si>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</si>
  <si>
    <t>クラス転移|追放|ざまぁ|スローライフ|異世界開拓|主人公最強|幼馴染|鬱勃起ざまぁ</t>
  </si>
  <si>
    <t>外れスキル『会話』で公爵家を勘当されたけど、魔獣の本音が分かるようになったので、いつの間にか神龍や神獣たちが懐いてくるんだが？～知らぬ間に最強領地になっていたので、俺を追放した家族たちが青ざめてる～</t>
  </si>
  <si>
    <t>どまどま</t>
  </si>
  <si>
    <t>https://kakuyomu.jp/works/2912051606432977067</t>
  </si>
  <si>
    <t>誰にも理解されない魔獣たちと話しただけで、なぜか懐かれるんだが？</t>
  </si>
  <si>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</si>
  <si>
    <t>主人公最強|ハーレム？|勘違い|ざまぁ|追放|悪役転生|成り上がり|カクヨムオンリー</t>
  </si>
  <si>
    <t>北方領主によるローゼリア大陸戦記</t>
  </si>
  <si>
    <t>イコ</t>
  </si>
  <si>
    <t>https://kakuyomu.jp/works/2912051605497205076</t>
  </si>
  <si>
    <t>戦記物の皮を被った、嫁チート！！！</t>
  </si>
  <si>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</si>
  <si>
    <t>戦略シミュレーションゲーム？|戦記物？（陣取り合戦）|主人公転生者|嫁チート|溺愛|シリアス|ラブコメ|AI補助利用</t>
  </si>
  <si>
    <t>自覚なき実力者の田舎剣士、ダル絡みしてきた都会女を倒したら、相手が都市最強の姫騎士と判明し真の実力がバレる～剣聖ルートへ突入したイケオジ～</t>
  </si>
  <si>
    <t>街風夜風</t>
  </si>
  <si>
    <t>https://kakuyomu.jp/works/2912051605714996113</t>
  </si>
  <si>
    <t>俺はただのおっさんなのに何を騒いでいるんだ？</t>
  </si>
  <si>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</si>
  <si>
    <t>成り上がり|おっさん無双|無自覚|実力ばれ|剣と魔法|大器晩成済み|AI補助|カクヨムオンリー</t>
  </si>
  <si>
    <t>くすんだ銀の英雄譚～おひとよしおっさん冒険者のセカンドライフは、最大最難の大迷宮で～</t>
  </si>
  <si>
    <t>遠野例</t>
  </si>
  <si>
    <t>https://kakuyomu.jp/works/16817330663385552023</t>
  </si>
  <si>
    <t>今、自分のための冒険に出よう。いつかこの脚が、何処へもゆけなくなる前に</t>
  </si>
  <si>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</si>
  <si>
    <t>カクヨムコン９|冒険者|男主人公|剣と魔法のハイファンタジー|セカンドライフ|※スローライフかというとそうでもない|主人公激強（「無双」かは今後次第）|カクヨムオンリー</t>
  </si>
  <si>
    <t>搾取され続けた元ブラック企業社員、悪役貴族に転生したので今度は俺が搾取する 〜安く拾った訳あり人材たちが異世界基準では神待遇らしく、なぜか忠誠を誓ってくる〜</t>
  </si>
  <si>
    <t>皇帝ペンギンX</t>
  </si>
  <si>
    <t>https://kakuyomu.jp/works/2912051602624199029</t>
  </si>
  <si>
    <t>「飯も寝床も薬代も神待遇です！」いや低賃金で雇っただけなんだが……</t>
  </si>
  <si>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</si>
  <si>
    <t>異世界転生|悪役貴族|勘違い|成り上がり|カクヨムオンリー|訳あり人材|ざまぁ|AI本文一部利用</t>
  </si>
  <si>
    <t>スキルを奪われてお詫びチートをもらったので余生を楽しく……過ごさせてくれ</t>
  </si>
  <si>
    <t>紫楼</t>
  </si>
  <si>
    <t>https://kakuyomu.jp/works/2912051604560814063</t>
  </si>
  <si>
    <t>そっちの都合はしらない。俺は俺のしたいようにする。</t>
  </si>
  <si>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</si>
  <si>
    <t>異世界|おじさん|渋オジ|酒場|チート|イケオジと美青年</t>
  </si>
  <si>
    <t>転生上がりのストリートチルドレンが官吏登用試験を受けてみた結果</t>
  </si>
  <si>
    <t>コロトック</t>
  </si>
  <si>
    <t>https://kakuyomu.jp/works/2912051605016927783</t>
  </si>
  <si>
    <t>実務能力満点だけど世間知らずな俺の配属先は第四王女の側近。…なんで？</t>
  </si>
  <si>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</si>
  <si>
    <t>異世界転生|コメディ (ラブ要素もあり)|スラム|王女|成り上がり|現代知識|宮廷|成長</t>
  </si>
  <si>
    <t>【錬鉄の英雄】～クズな大人に殴られて前世を思い出した『鉄感知』のギフトを持つ少年、ギフトを進化させて仲間の少女たちと成り上がり続ける～</t>
  </si>
  <si>
    <t>くーねるでぶる（戒め）</t>
  </si>
  <si>
    <t>https://kakuyomu.jp/works/2912051604449480737</t>
  </si>
  <si>
    <t>生物の体には微量の鉄が含まれている。これがどういう意味かわかるかな？</t>
  </si>
  <si>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</si>
  <si>
    <t>異世界転生|お姉さんハーレム|ギフト|知識チート|ざまぁ|成り上がり|スラム|カクヨムオンリー</t>
  </si>
  <si>
    <t>王国の「書類係」をクビにした結果 ～彼が更新していた古代契約は三百件、まずは王都の灯りが消えるところから始まります～</t>
  </si>
  <si>
    <t>kuni</t>
  </si>
  <si>
    <t>https://kakuyomu.jp/works/2912051606196630324</t>
  </si>
  <si>
    <t>クビにした書類係が、世界の法律を書いた男だと王国はまだ知らない</t>
  </si>
  <si>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</si>
  <si>
    <t>ざまぁ|成り上がり|無双|追放|異世界ファンタジー|恋愛|AI利用</t>
  </si>
  <si>
    <t>亡国の王子ですが、のんびりしようと下級官吏になったら、なぜか昼行燈と噂の第七皇女の秘書官になりました</t>
  </si>
  <si>
    <t>萩原詩荻</t>
  </si>
  <si>
    <t>https://kakuyomu.jp/works/2912051598114191048</t>
  </si>
  <si>
    <t>――国を滅ぼされたらやることは一つ。そう、普通の生活だよね！</t>
  </si>
  <si>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</si>
  <si>
    <t>コメディ|宮廷|男主人公|亡国王子|皇女|お仕事|正体隠し</t>
  </si>
  <si>
    <t>四十歳の元社畜、異世界の宿屋で飯を作る　〜味のないスープと石みたいなパンを改善していたら繁盛店になりました〜</t>
  </si>
  <si>
    <t>酒好きのおじさん</t>
  </si>
  <si>
    <t>https://kakuyomu.jp/works/2912051604589875887</t>
  </si>
  <si>
    <t>美味しい一杯のために始まる異世界酒と料理の物語</t>
  </si>
  <si>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</si>
  <si>
    <t>グルメ|料理|ご都合主義|スローライフ|おっさん|中年|中世|AI校正</t>
  </si>
  <si>
    <t>ようこそ男絶滅集落（ドル・ロスト）へ ～幼馴染のハーレムパーティを追放された転生戦士の男女比1:50のスローライフ生活</t>
  </si>
  <si>
    <t>https://kakuyomu.jp/works/2912051605746847260</t>
  </si>
  <si>
    <t>「お前はクビだ！」—やったぜ！ 男女比1：50以上楽園へ直行だ！</t>
  </si>
  <si>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</si>
  <si>
    <t>追放|男主人公|ハーレム|男女比1：50|異世界転生|AI補助利用</t>
  </si>
  <si>
    <t>転生したおっさんゲーマー、周りの美少女達をNPCと勘違いした結果〜男女比１：２００の世界で気づけば外堀を完璧に埋められていた件～</t>
  </si>
  <si>
    <t>大気圏</t>
  </si>
  <si>
    <t>https://kakuyomu.jp/works/2912051601164089962</t>
  </si>
  <si>
    <t>男女比の偏った貞操逆転世界で、勘違いランカーは推しのために駆け抜ける</t>
  </si>
  <si>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</si>
  <si>
    <t>男主人公|勘違い|男女比|貞操逆転|ハーレム|無自覚|バトル|コメディ</t>
  </si>
  <si>
    <t>よりにもよって王様かよ！　中間管理職のオッサン、勇者と魔王がいる異世界に転生したので、RPG的なお約束にダメ出しする</t>
  </si>
  <si>
    <t>枝垂みかん</t>
  </si>
  <si>
    <t>https://kakuyomu.jp/works/2912051606009715237</t>
  </si>
  <si>
    <t>ダンジョンを封鎖せよ！　冒険者組合は解体だ！　盗賊ギルドを一斉検挙だ！</t>
  </si>
  <si>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</si>
  <si>
    <t>おっさん主人公|戦う王様|魔法|勇者|ハーレム|内政|ラブコメ|ギャグ</t>
  </si>
  <si>
    <t>歴代魔王、全部倒す　～ナンバリングタイトルラストの悪役貴族に転生したら歴代主人公がラスボスを一体も倒してくれてなかったので、ゲーム知識で全員ぶちのめします～</t>
  </si>
  <si>
    <t>しんこせい</t>
  </si>
  <si>
    <t>https://kakuyomu.jp/works/2912051607285371060</t>
  </si>
  <si>
    <t>だったら歴代魔王、俺が全部倒してやるよ！</t>
  </si>
  <si>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</si>
  <si>
    <t>勇者|魔王|剣|魔法|転生|ゲーム世界|悪役貴族|ラスボス</t>
  </si>
  <si>
    <t>宮廷魔導師選抜試験を記念受験した田舎者</t>
  </si>
  <si>
    <t>古野ジョン</t>
  </si>
  <si>
    <t>https://kakuyomu.jp/works/2912051603474311296</t>
  </si>
  <si>
    <t>穀潰しだった男の才能が、都会のエリートたちを飲み込んでいく――</t>
  </si>
  <si>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</si>
  <si>
    <t>異世界|試験|主人公最強|魔法|宮廷魔導師|成り上がり|天才|現地主人公</t>
  </si>
  <si>
    <t>婚約破棄されたので辺境都市の門を閉じました</t>
  </si>
  <si>
    <t>@gainoze</t>
  </si>
  <si>
    <t>https://kakuyomu.jp/works/2912051604891101737</t>
  </si>
  <si>
    <t>門を閉じた日、王国の終わりが始まる。</t>
  </si>
  <si>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</si>
  <si>
    <t>婚約破棄|ざまぁ|辺境伯令嬢|ファンタジー|王国崩壊|公開|門を閉じる|女主人公</t>
  </si>
  <si>
    <t>『ドラゴンに転生したので、人間の国を育てることにした 〜黒パン半分の恩返しから始まる竜王建国記〜』</t>
  </si>
  <si>
    <t>あちゅ和尚</t>
  </si>
  <si>
    <t>https://kakuyomu.jp/works/2912051605781475130</t>
  </si>
  <si>
    <t>黒パン半分の恩返しから、幼竜と寒村は国になる。</t>
  </si>
  <si>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</si>
  <si>
    <t>ドラゴン転生|人外転生|村づくり|建国|領地経営|魔物進化|多種族共存|AI本文利用</t>
  </si>
  <si>
    <t>村人Ａとヤンデレ勇者【受賞・書籍化】</t>
  </si>
  <si>
    <t>九條葉月@書籍発売中！</t>
  </si>
  <si>
    <t>https://kakuyomu.jp/works/822139844634370770</t>
  </si>
  <si>
    <t>勇者パーティー、セルフ追放。</t>
  </si>
  <si>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</si>
  <si>
    <t>カクヨムオンリー|異世界転生|ヤンデレ|ラブコメ|狂気|勘違い|鈍感|幼なじみ</t>
  </si>
  <si>
    <t>悪役貴族として散る矜持〜主人公に殺されるシナリオ通りのデスルートを目指します(無理)〜</t>
  </si>
  <si>
    <t>焼きうどん</t>
  </si>
  <si>
    <t>https://kakuyomu.jp/works/2912051603540471066</t>
  </si>
  <si>
    <t>「人々からは嫌われ、最終的に主人公に殺される悪役貴族…最高じゃないか」</t>
  </si>
  <si>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</si>
  <si>
    <t>悪役貴族|主人公最強|ダークファンタジー|ハーレム|勘違い|カクヨムオンリー|曇らせ|学園</t>
  </si>
  <si>
    <t>××を殺す病</t>
  </si>
  <si>
    <t>竜胆マサタカ</t>
  </si>
  <si>
    <t>https://kakuyomu.jp/works/2912051603005740067</t>
  </si>
  <si>
    <t>なにもかも失い復讐の鬼と化した少女に『理解ある彼くん』を与えてみた結果</t>
  </si>
  <si>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</si>
  <si>
    <t>異世界転生|主人公最強|ゲーム世界|成り上がり|ヤンデレ|曇らせ|勘違い</t>
  </si>
  <si>
    <t>スキル『ワールドショップ』で商売を始める。</t>
  </si>
  <si>
    <t>あれです。</t>
  </si>
  <si>
    <t>https://kakuyomu.jp/works/2912051605265286643</t>
  </si>
  <si>
    <t>何でも買えるショップがあったら良いなぁ～。</t>
  </si>
  <si>
    <t>なぜか『ワールドショップ』というスキルを手にした男が、スキルを使って稼ごうとするお話になると思います。</t>
  </si>
  <si>
    <t>異世界|現代|SF|スキル|商売|魔法|カクヨムオンリー</t>
  </si>
  <si>
    <t>チート転生者だらけの異世界で、俺だけ【帰還魔法】が使える件～焼肉のタレで飯テロしつつ、日本に未練を残した転生者たちを助けていたら、なぜかクセ強美少女たちが絶対に放してくれなくなったんだが……？</t>
  </si>
  <si>
    <t>高野　ケイ</t>
  </si>
  <si>
    <t>https://kakuyomu.jp/works/2912051605735599197</t>
  </si>
  <si>
    <t>【平日は日本、週末は異世界へ】焼肉のタレで飯テロしたら何故かハーレムに</t>
  </si>
  <si>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</si>
  <si>
    <t>異世界行ったり来たり|異世界転移|現代アイテム|飯テロ|ハーレム|ストレスフリー|無双|ざまぁ</t>
  </si>
  <si>
    <t>俺はパンを作っているだけなんだけどな</t>
  </si>
  <si>
    <t>https://kakuyomu.jp/works/2912051606315874400</t>
  </si>
  <si>
    <t>異世界のパンって美味くねぇ！</t>
  </si>
  <si>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</si>
  <si>
    <t>パン屋|主人公はチート|創作|領地経営？|スローライフ|迷い人|AI補助利用</t>
  </si>
  <si>
    <t>【書籍化】異世界転生周回プレイ</t>
  </si>
  <si>
    <t>にーしち</t>
  </si>
  <si>
    <t>https://kakuyomu.jp/works/2912051604578808851</t>
  </si>
  <si>
    <t>転生で与えられたのは無限の転生と最強に至る力。そして、永遠の孤独。</t>
  </si>
  <si>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</si>
  <si>
    <t>異世界転生|曇らせ|ヤンデレ|いずれ主人公最強|剣と魔法|恋愛</t>
  </si>
  <si>
    <t>8/25 書籍第1巻発売！　【本編完結】オレの水魔法はどこかおかしい　〜気がついたらスラムのゴミ箱に捨てられていた〜</t>
  </si>
  <si>
    <t>市ノ瀬茂樹</t>
  </si>
  <si>
    <t>https://kakuyomu.jp/works/16818093085917789154</t>
  </si>
  <si>
    <t>オレは最低限の生活の中でどこかおかしい水魔法を使ってしぶとく生きていく</t>
  </si>
  <si>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</si>
  <si>
    <t>8/25書籍発売　書籍化　貴族　辺境伯|水魔法　創造魔法|異世界転生　転生者|鑑定　空間収納　リセット|転生〜復讐編　本編　完結　書籍化|毒舌　傲岸不遜　容赦無し|魔獣　精霊獣　神獣|精霊　精霊魔法</t>
  </si>
  <si>
    <t>【1巻発売中！】機動転生【転生したら機動兵器だった】</t>
  </si>
  <si>
    <t>賀東招二</t>
  </si>
  <si>
    <t>https://kakuyomu.jp/works/16818093092974667738</t>
  </si>
  <si>
    <t>目が覚めたら全高18メートルの人型機動兵器だった。しかも試作型。</t>
  </si>
  <si>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</si>
  <si>
    <t>ロボット|スペースオペラ|ライトノベル|異世界転生|ミリタリー|宇宙戦艦|サバイバル</t>
  </si>
  <si>
    <t>婚約破棄されて前世の記憶を取り戻したので……美味しいお酒を造ります！</t>
  </si>
  <si>
    <t>https://kakuyomu.jp/works/2912051605573183953</t>
  </si>
  <si>
    <t>そうだ、美味しいお酒作っちゃえばいいんだ！</t>
  </si>
  <si>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</si>
  <si>
    <t>魔王|魔法|チート|主人公最強|酒|ビール</t>
  </si>
  <si>
    <t>悪の組織のライバルキャラ転生〜破滅エンドを回避したい中ボス悪役、原作を破壊してヒロインに英雄扱いされる〜</t>
  </si>
  <si>
    <t>むべむべ</t>
  </si>
  <si>
    <t>https://kakuyomu.jp/works/16818093082048199240</t>
  </si>
  <si>
    <t>「お前を倒すのは俺だ」と言いたいだけの男、原作を蹂躙して愛されハーレム</t>
  </si>
  <si>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</si>
  <si>
    <t>悪役転生|主人公最強格|勘違い|成り上がり|ヤンデレ|ハーレム|曇らせ|シリアス&amp;コメディ</t>
  </si>
  <si>
    <t>《ゴブリン召喚》で呼ばれたのは俺でした ～死んでも再召喚される最弱ゴブリン、少女と戦場を生き延びる～</t>
  </si>
  <si>
    <t>といとい</t>
  </si>
  <si>
    <t>https://kakuyomu.jp/works/2912051605596589356</t>
  </si>
  <si>
    <t>「ゴブリンさん、戦ってください！」――いやですけど？</t>
  </si>
  <si>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</si>
  <si>
    <t>異世界転生|男主人公|ゴブリン|召喚|戦記|軍事|成り上がり|男性向け</t>
  </si>
  <si>
    <t>勇者選抜試験に迷い込んだ田舎者、実は途絶えたはずの初代勇者の子孫だそうですよ？</t>
  </si>
  <si>
    <t>リヒト</t>
  </si>
  <si>
    <t>https://kakuyomu.jp/works/2912051607270227751</t>
  </si>
  <si>
    <t>田舎より出てきた異才が、都会の秀才・天才を超えていく！</t>
  </si>
  <si>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</si>
  <si>
    <t>異世界|魔法|男主人公|主人公最強|ざまぁ|成り上がり|試験|ハーレム</t>
  </si>
  <si>
    <t>レベルが上がらない“停滞”は、実は世界最強のハズレスキルでした〜経験値が全部スキルポイントに変わるので、レベル1のまま格上を狩って無双します〜</t>
  </si>
  <si>
    <t>かしおり</t>
  </si>
  <si>
    <t>https://kakuyomu.jp/works/2912051605435750996</t>
  </si>
  <si>
    <t>レベルは1固定。でも経験値は全部スキルに——ハズレは最強だった</t>
  </si>
  <si>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</si>
  <si>
    <t>異世界転生|固有スキル|成長チート|ハズレスキル|ダンジョン|ソロ|ざまぁ|AI本文一部利用</t>
  </si>
  <si>
    <t>のんべえ令嬢のニッポン飲み歩き！！ーオフの日は異世界から、愛するグルメ天国ニッポンへ。美味しいもので逆無双しますー</t>
  </si>
  <si>
    <t>ちくわ族の生き残り</t>
  </si>
  <si>
    <t>https://kakuyomu.jp/works/2912051606569731498</t>
  </si>
  <si>
    <t>完璧なご令嬢？ただの呑兵衛です。</t>
  </si>
  <si>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</si>
  <si>
    <t>料理|異世界|グルメ|令嬢|裏の顔|癒し|酒|飯テロ</t>
  </si>
  <si>
    <t>【6章完結】転生した辺境男爵家の少年は、魔術具で世界を変える</t>
  </si>
  <si>
    <t>エナジーコット</t>
  </si>
  <si>
    <t>https://kakuyomu.jp/works/2912051600755921665</t>
  </si>
  <si>
    <t>辺境から始まり、小さな発明が世界を変える</t>
  </si>
  <si>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</si>
  <si>
    <t>異世界転生|成り上がり|家族愛|生産職|ハイファンタジー|お仕事もの</t>
  </si>
  <si>
    <t>忘れられ令嬢は気ままに暮らしたい</t>
  </si>
  <si>
    <t>はぐれうさぎ</t>
  </si>
  <si>
    <t>https://kakuyomu.jp/works/16816927863019427894</t>
  </si>
  <si>
    <t>えっ、勝手に生きろ！？……じゃあ、気ままに暮らすことにします。</t>
  </si>
  <si>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</si>
  <si>
    <t>異世界転生|女主人公|魔法|スローライフ？|従魔</t>
  </si>
  <si>
    <t>スローライフを送るはずが、スキル『育てる』の使い方を間違えて辺境の貧乏領地が最強へと花開く～前世の妻から枯れたと言われ意地になったオジサンが異世界で咲き誇る～</t>
  </si>
  <si>
    <t>月鈴</t>
  </si>
  <si>
    <t>https://kakuyomu.jp/works/2912051604254362984</t>
  </si>
  <si>
    <t>ハァ？　まだ俺は枯れてないし……全てにギンギンだし……</t>
  </si>
  <si>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</si>
  <si>
    <t>チート/スキル|元おじさん/おっさん|内政/領地経営|スローライフ/戦記|成り上がり|勘違い|ハーレム|ハッピーエンド</t>
  </si>
  <si>
    <t>婚約破棄され、悪役貴族のレッテルを貼られた男爵家の令息、国一番の美少女である公爵家令嬢に求婚される。</t>
  </si>
  <si>
    <t>楠木湊人</t>
  </si>
  <si>
    <t>https://kakuyomu.jp/works/2912051605261443346</t>
  </si>
  <si>
    <t>クールな高嶺の花である名門のご令嬢。俺にだけ好き好き言って甘えてくる。</t>
  </si>
  <si>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</si>
  <si>
    <t>主人公最強|成り上がり|ざまぁ|クーデレヒロイン|ラブコメ|イチャラブ|カクヨムオンリー|AI補助利用</t>
  </si>
  <si>
    <t>俺が主人公のはずなのに、初陣で死ぬ見習いモブらしい 〜俺だけが主人公だと信じて立ち上がっていたら、ヒロインたちと原作の運命まで狂い始めた〜</t>
  </si>
  <si>
    <t>https://kakuyomu.jp/works/2912051603367336310</t>
  </si>
  <si>
    <t>「あれ？……このモブ、妙に強くないか？」 いや、それ原作主人公です。</t>
  </si>
  <si>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</si>
  <si>
    <t>異世界|ハーレム？|勘違い|中二病|ラブコメ|妖怪|二刀流|AI本文一部利用</t>
  </si>
  <si>
    <t>勇者、悪いけど彼女達は全員既に俺のものです！　〜追放宣言が毎回不発に終わる、訳あり魔法戦士の日常〜</t>
  </si>
  <si>
    <t>https://kakuyomu.jp/works/2912051606995899760</t>
  </si>
  <si>
    <t>ざまぁ未満の日常コメディ！ 勇者が知らぬ間に全員寝取り済み</t>
  </si>
  <si>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</si>
  <si>
    <t>ざまぁ？|男主人公|勇者|ハーレム|寝取り|AI補助利用</t>
  </si>
  <si>
    <t>俺の異世界ハーレム生活～NTRとダンジョン攻略は「内密にな」～</t>
  </si>
  <si>
    <t>猫野　にくきゅう</t>
  </si>
  <si>
    <t>https://kakuyomu.jp/works/2912051604187380632</t>
  </si>
  <si>
    <t>クラス転移した異世界で、俺だけハーレム冒険者</t>
  </si>
  <si>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</si>
  <si>
    <t>ダークファンタジー|剣と魔法|奴隷|ハーレム|ダンジョン|NTR|AI補助利用</t>
  </si>
  <si>
    <t>元勇者は静かに酒を漬ける</t>
  </si>
  <si>
    <t>藍敦</t>
  </si>
  <si>
    <t>https://kakuyomu.jp/works/2912051607101847958</t>
  </si>
  <si>
    <t>はい、これ『毒竜』漬け込んだ酒ね</t>
  </si>
  <si>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</si>
  <si>
    <t>主人公最強|異世界転移|おっさん主人公|お仕事|お酒</t>
  </si>
  <si>
    <t>勇者に寝取られた女達が曇ったり復縁を望んでいますが、どうやら俺の好感度低下バフが切れた模様。ですか仲間の僧侶は相変わらずなのでどうでもいいです</t>
  </si>
  <si>
    <t>次郎</t>
  </si>
  <si>
    <t>https://kakuyomu.jp/works/2912051605373212610</t>
  </si>
  <si>
    <t>――好きなんだからしょうがないでしょう？</t>
  </si>
  <si>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</si>
  <si>
    <t>男主人公|ツンデレ偽聖女|ＮＴＲ|追放|曇らせ|ざまぁ|勘違い|チートなし　11話からハクスラ</t>
  </si>
  <si>
    <t>負けイベ要員のモブAに転生した社畜、知らぬ間に賢王となる ～打算で救った亜人たちが裏で武装国家を建国している件～</t>
  </si>
  <si>
    <t>笠鳴小雨</t>
  </si>
  <si>
    <t>https://kakuyomu.jp/works/2912051606025862115</t>
  </si>
  <si>
    <t>スローライフ願望の強いモブによる勘違い建国記（何もしていない）</t>
  </si>
  <si>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</si>
  <si>
    <t>異世界転生|主人公最強|ゲーム世界|建国記|勘違い|亜人</t>
  </si>
  <si>
    <t>（社会的に）ハズレスキル『おっぱいを見たら強くなる』に目覚めたけど、強く生きます</t>
  </si>
  <si>
    <t>今慈ムジナ@『腰ヘコ』コミカライズ化</t>
  </si>
  <si>
    <t>https://kakuyomu.jp/works/2912051606941034452</t>
  </si>
  <si>
    <t>おっぱいで強くなる――社会的にはハズレスキルでも、最強に繋がっていた</t>
  </si>
  <si>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</si>
  <si>
    <t>異世界転移|いずれ主人公最強|おっぱい|ハーレム|コメディ|激重感情|成り上がり|カクヨムオンリー</t>
  </si>
  <si>
    <t>「マスター、このままだと潰れちゃいますよ」って言われるために弱小ギルドを立ち上げたら、なぜか周りが勝手に最強ギルドを作ろうとしているんですが？</t>
  </si>
  <si>
    <t>とおさー@ファンタジア大賞《金賞》</t>
  </si>
  <si>
    <t>https://kakuyomu.jp/works/2912051605125301536</t>
  </si>
  <si>
    <t>ギルド内にカフェを作った結果、なぜか最強ギルドができてしまう</t>
  </si>
  <si>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</si>
  <si>
    <t>ギルドマスター|主人公最強|勘違い|異世界転生|成り上がり|王女|あざとい受付嬢|聖女</t>
  </si>
  <si>
    <t>没落令嬢だけど愛する妹の学費を稼ぐために魔法学院の教師になります～【灰の魔女】？そう呼ばれてたのは昔のことでしてよ～</t>
  </si>
  <si>
    <t>ただの百合好き</t>
  </si>
  <si>
    <t>https://kakuyomu.jp/works/2912051606447559653</t>
  </si>
  <si>
    <t>その新人魔法教師、規格外につき──</t>
  </si>
  <si>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</si>
  <si>
    <t>百合|ガールズラブ|ハーレム|魔法|主人公最強|異世界|ラブコメ|魔法学園もの</t>
  </si>
  <si>
    <t>【完結】ご報告いたします。妃殿下が現場で神がかっております</t>
  </si>
  <si>
    <t>楽歩</t>
  </si>
  <si>
    <t>https://kakuyomu.jp/works/2912051606603867572</t>
  </si>
  <si>
    <t>妃殿下の隠しきれない天才ぶりに、宰相のため息と胃痛が止まらない。</t>
  </si>
  <si>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</si>
  <si>
    <t>異世界|ハッピーエンド|ファンタジー|女主人公|宰相のため息|魔法|神獣|コンテンツ大賞応募中</t>
  </si>
  <si>
    <t>平凡な文官の俺、気付けば分身達が各国の重要人物になっていました</t>
  </si>
  <si>
    <t>https://kakuyomu.jp/works/2912051605516680853</t>
  </si>
  <si>
    <t>俺は平凡な文官だ。分身達がおかしい。</t>
  </si>
  <si>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</si>
  <si>
    <t>ファンタジー|主人公最強|分身|貴族|ざまぁ|勘違い|常識人</t>
  </si>
  <si>
    <t>謎職業【墓堀処刑人《アンダーテイカー》】を授かって追放された俺、厄災の魔女と死者を蘇らせていたら、なぜか曇ったヒロインたちに囲まれて世界最強の国ができていた</t>
  </si>
  <si>
    <t>https://kakuyomu.jp/works/2912051606005794868</t>
  </si>
  <si>
    <t>俺は別に不幸じゃないのに、どうしてみんな曇っているんだ？</t>
  </si>
  <si>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</si>
  <si>
    <t>曇らせヒロイン|勘違い|ヤンデレ|ハーレム|追放|激重感情|死者蘇生|AI本文使用</t>
  </si>
  <si>
    <t>野良犬の宮廷料理</t>
  </si>
  <si>
    <t>卵座</t>
  </si>
  <si>
    <t>https://kakuyomu.jp/works/2912051604129873512</t>
  </si>
  <si>
    <t>田舎の平民、皇女の胃袋をわし掴み、気付けば宮廷料理人に。</t>
  </si>
  <si>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</si>
  <si>
    <t>異世界転生|主人公最強（料理のみ）|ヒロイン最強（バトルのみ）|天才|成り上がり|グルメ・飯テロ・ガチ料理|クーデレ・いちゃラブ・溺愛|微エロ</t>
  </si>
  <si>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</si>
  <si>
    <t>https://kakuyomu.jp/works/2912051606537862175</t>
  </si>
  <si>
    <t>追放された木偶の坊、即死攻撃も「-1」にする世界最強のバグでした</t>
  </si>
  <si>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</si>
  <si>
    <t>男主人公|主人公最強|ざまぁ|追放|重装騎士|即死無効|ノンストレス|AI利用</t>
  </si>
  <si>
    <t>せっかくアバターの姿で転生したのに異世界の連中がやけに強い。</t>
  </si>
  <si>
    <t>モノノキ</t>
  </si>
  <si>
    <t>https://kakuyomu.jp/works/2912051605449823955</t>
  </si>
  <si>
    <t>「雑魚モンスの癖に随分レベル高いな……」</t>
  </si>
  <si>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</si>
  <si>
    <t>男主人公|転生|アバター転移|主人公最強格|人外(人化あり)|魔法</t>
  </si>
  <si>
    <t>スキル「ゴミ」いや、マジで</t>
  </si>
  <si>
    <t>新川さとし</t>
  </si>
  <si>
    <t>https://kakuyomu.jp/works/16817330667996401659</t>
  </si>
  <si>
    <t>ハズレスキルで召喚した前世のゴミは、異世界の宝の山でした</t>
  </si>
  <si>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</si>
  <si>
    <t>内政|本格的戦略|無双|ハーレム|現代知識|戦争|ザマァ|歴史知識</t>
  </si>
  <si>
    <t>俺の幼馴染婚約者が勇者と夜の聖騎士団を結成していた件について。長ネギ1本から復讐します。</t>
  </si>
  <si>
    <t>すーぱーりっかちゃん</t>
  </si>
  <si>
    <t>https://kakuyomu.jp/works/2912051604366766723</t>
  </si>
  <si>
    <t>婚約者は勇者のハーレムへ。俺に残されたのは、長ネギ一本。</t>
  </si>
  <si>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</si>
  <si>
    <t>追放|ざまぁ|復讐|魔王|成り上がり|チート|幼馴染|寝取られ</t>
  </si>
  <si>
    <t>魔力値１で生まれた令嬢は――死んでたまるか！</t>
  </si>
  <si>
    <t>eggy</t>
  </si>
  <si>
    <t>https://kakuyomu.jp/works/2912051605625958378</t>
  </si>
  <si>
    <t>死んでたまるか！　ど根性令嬢は、自立を目指す</t>
  </si>
  <si>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</si>
  <si>
    <t>女主人公|西洋|中世|魔法|収納|虐げられ|ざまあ|異世界転生</t>
  </si>
  <si>
    <t>推しをいじめる悪役令嬢のメイドに転生したので、めっちゃ足引っ張ってやろうと思っていたのに……</t>
  </si>
  <si>
    <t>酒春</t>
  </si>
  <si>
    <t>https://kakuyomu.jp/works/2912051602768858683</t>
  </si>
  <si>
    <t>【百合】これじゃ悪役令嬢じゃなくて暗躍令嬢だよ</t>
  </si>
  <si>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</si>
  <si>
    <t>ヒロイン最強|主従関係|悪役令嬢|ガールズラブ|異世界転生|暗躍|百合|女主人公</t>
  </si>
  <si>
    <t>世界唯一の解呪魔法使い～追放された伯爵五男、奴隷少女を買って解呪したら天使の翼が生えてきた～</t>
  </si>
  <si>
    <t>水葉わいん/わいん。</t>
  </si>
  <si>
    <t>https://kakuyomu.jp/works/2912051605536052814</t>
  </si>
  <si>
    <t>『身体能力と魔力量、10倍にするね』――天使の力で最強支援魔法！？</t>
  </si>
  <si>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</si>
  <si>
    <t>微ヤンデレ|純愛|現地主人公|追放|冒険者|剣と魔法|バトル|ラブコメ</t>
  </si>
  <si>
    <t>転生料理人の最強グルメ領地経営 〜『役立たず』と捨てられた転生悪役貴族が、料理スキルで貧困村を大陸一の都市に変えるまで〜</t>
  </si>
  <si>
    <t>夜桜ユノ</t>
  </si>
  <si>
    <t>https://kakuyomu.jp/works/2912051604595298413</t>
  </si>
  <si>
    <t>ハズレスキル『料理』は斬撃も火炎も食事バフも扱える最強スキルでした</t>
  </si>
  <si>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</si>
  <si>
    <t>ざまぁ|追放|主人公最強|成り上がり|スローライフ|グルメ|飯テロ|悪役転生</t>
  </si>
  <si>
    <t>聖女認定された妹と魔女に堕ちた姉の双子ですが、従者は二人とも守りたいそうです</t>
  </si>
  <si>
    <t>@midorii</t>
  </si>
  <si>
    <t>https://kakuyomu.jp/works/2912051603072884906</t>
  </si>
  <si>
    <t>「なんでそんな従者なんかが、勇者の僕より信頼されているんだ……？！」</t>
  </si>
  <si>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</si>
  <si>
    <t>双子姉妹|従者|現地主人公|ハーレム？|聖女|魔女|タイムリープ？</t>
  </si>
  <si>
    <t>辺境の無名は天才たちの星となりて</t>
  </si>
  <si>
    <t>https://kakuyomu.jp/works/2912051597894806171</t>
  </si>
  <si>
    <t>少年のあまりにも強大な才能は、天才たちを震撼させる──</t>
  </si>
  <si>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</si>
  <si>
    <t>異世界|主人公天才|魔法|天才|努力|才能|群像劇|現地主人公</t>
  </si>
  <si>
    <t>【WEB版】廃ゲーマーの農夫転生～俺だけが知っている最弱職能の進化先で成り上がる！？～</t>
  </si>
  <si>
    <t>御峰。</t>
  </si>
  <si>
    <t>https://kakuyomu.jp/works/16818093075780689099</t>
  </si>
  <si>
    <t>選ぶのは最強ルートか、別のルートか……って、その選択肢はヨソウガイです</t>
  </si>
  <si>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</si>
  <si>
    <t>モブ転生|成り上がり|ハーレム|努力と成長|最弱スタート|いずれ最強|領地経営|シリアス＆ギャグ</t>
  </si>
  <si>
    <t>無録の神匠 〜「才なし」と捨てられた辺境で、壊れた神様と廃村を直して暮らします〜</t>
  </si>
  <si>
    <t>寝る猫</t>
  </si>
  <si>
    <t>https://kakuyomu.jp/works/2912051604016586190</t>
  </si>
  <si>
    <t>直せるものは、直す。神様も、世界も。</t>
  </si>
  <si>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</si>
  <si>
    <t>異世界転生|ハイファンタジー|スローライフ|職人|ものづくり|領地経営|角川ビーンズ文庫|AI本文利用</t>
  </si>
  <si>
    <t>田舎者とイジメられた新米宮廷料理人、王女三姉妹の朝食を一人で作ったら全員の胃袋を掴んでしまいました</t>
  </si>
  <si>
    <t>https://kakuyomu.jp/works/2912051605127410678</t>
  </si>
  <si>
    <t>新米宮廷料理人によるざまぁ展開から始まるハーレム物語</t>
  </si>
  <si>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</si>
  <si>
    <t>料理|異世界|ハーレム|成り上がり？|ラブコメ|ざまぁ|溺愛|王女</t>
  </si>
  <si>
    <t>皇帝に成りたくない男の不本意奴隷ハーレム</t>
  </si>
  <si>
    <t>サイリウム</t>
  </si>
  <si>
    <t>https://kakuyomu.jp/works/2912051605766904351</t>
  </si>
  <si>
    <t>皇帝位からもハーレムからも、もう逃げられないぞ！</t>
  </si>
  <si>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</si>
  <si>
    <t>異世界転生|奴隷|ハーレム|スキル|鑑定|ダンジョン|皇位継承戦|クソボケ</t>
  </si>
  <si>
    <t>仲間を庇って落ちた奈落から舞い戻ったら婚約者に裏切られ、財産は奪われ、パーティーからも追放されていたからもう知らん～なお彼を追い出した奴らは次々に崩壊していく模様</t>
  </si>
  <si>
    <t>蒼井星空</t>
  </si>
  <si>
    <t>https://kakuyomu.jp/works/2912051606374053458</t>
  </si>
  <si>
    <t>今さら後悔しても遅いんだよ！なお、俺を信じた元婚約者の妹だけは助ける</t>
  </si>
  <si>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</si>
  <si>
    <t>裏切り|婚約破棄|パーティ追放|市民権剥奪|ざまぁ|スタンピード|借金と不正|曇らせ</t>
  </si>
  <si>
    <t>クラスで集団異世界転移。毎日ゴミ拾いしていたことで善行ポイントがカンストしてたので、ポイント消費して強さよりも生き残ることを優先します。</t>
  </si>
  <si>
    <t>雪風</t>
  </si>
  <si>
    <t>https://kakuyomu.jp/works/2912051606883618436</t>
  </si>
  <si>
    <t>毎日のゴミ拾いで善行ポイントがカンストしてた。</t>
  </si>
  <si>
    <t>異世界|転移|恋愛|学園|サバイバル|戦争|戦記|現代</t>
  </si>
  <si>
    <t>追放された解析職、俺が独占していた攻略法をすべて無料公開する～「お前の代わりなどいくらでもいる」と捨てられたが、街の掲示板に討伐メモを貼ったら新人が格上を瞬殺し、ボッタクリギルドが翌週潰れました～</t>
  </si>
  <si>
    <t>https://kakuyomu.jp/works/2912051606777645553</t>
  </si>
  <si>
    <t>これは復讐じゃない。ただの、情報公開だ。世界が無料の知でひっくり返る。</t>
  </si>
  <si>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</si>
  <si>
    <t>追放|ざまぁ|主人公最強|成り上がり|知略|おっさん|掲示板|AI利用</t>
  </si>
  <si>
    <t>幼竜の俺を拾ったボロボロの少女、数年後に最強のドラゴンナイトになって俺を執着溺愛してくるんだが？</t>
  </si>
  <si>
    <t>https://kakuyomu.jp/works/2912051606572229208</t>
  </si>
  <si>
    <t>【人外龍転生×激重少女ヒロイン】最弱の幼竜、最強の竜騎士を育てる。</t>
  </si>
  <si>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</si>
  <si>
    <t>人外転生|ざまぁ|激重感情|幼竜転生|短編シリーズ|たぶん短編</t>
  </si>
  <si>
    <t>伝説の老騎士、定年退職して裏路地で屋台を始める</t>
  </si>
  <si>
    <t>犬斗</t>
  </si>
  <si>
    <t>https://kakuyomu.jp/works/2912051596456970950</t>
  </si>
  <si>
    <t>街の裏路地。大きな事件はなくとも、そこにはいくつもの人生があった。</t>
  </si>
  <si>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</si>
  <si>
    <t>主人公最強|イケ爺|師匠|騎士|屋台|定年退職|第二の人生</t>
  </si>
  <si>
    <t>ロストワーカー～騙された傭兵はヒモ生活を夢に見る～</t>
  </si>
  <si>
    <t>ココア</t>
  </si>
  <si>
    <t>https://kakuyomu.jp/works/822139846598449886</t>
  </si>
  <si>
    <t>復讐なんてするよりも、ヒモ生活を目指すか</t>
  </si>
  <si>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</si>
  <si>
    <t>魔法|男主人公|勇者の娘|ヒモ</t>
  </si>
  <si>
    <t>魔王を倒した勇者パーティの雑用係、異世界の辺境村でスローライフを始めました。～のんびり暮らしたいだけなのに規格外の連中が居座り始めた件～</t>
  </si>
  <si>
    <t>タジリユウ</t>
  </si>
  <si>
    <t>https://kakuyomu.jp/works/2912051605408281657</t>
  </si>
  <si>
    <t>最強じゃない、でも誰よりも頼られる万能スキル持ち雑用係のサードライフ！</t>
  </si>
  <si>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</si>
  <si>
    <t>異世界転生|スローライフ|開拓|飯テロ|チート|ストレスフリー|万能スキル|雑用係</t>
  </si>
  <si>
    <t>【書籍化】俺は勇者に向いていない 〜主人公を譲ってあげたら世界が滅亡しかけてるんだが……〜【旧題】王道系ファンタジー漫画の主人公キャラに転生したら、村にもう一人転生者がいた〜何やら……〜</t>
  </si>
  <si>
    <t>出来立てホヤホヤの鯛焼き</t>
  </si>
  <si>
    <t>https://kakuyomu.jp/works/16818093074173866568</t>
  </si>
  <si>
    <t>絆？ 愛？ それでパワーアップとかしろと？ 出来る気が欠片もしないぜ☆</t>
  </si>
  <si>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</si>
  <si>
    <t>カクヨムオンリー|異世界転生|魔法|主人公最強格|男主人公|ファンタジー|魔王|シリアス</t>
  </si>
  <si>
    <t>『異世界で10年男勇者だった俺、帰還したら元の美少女に戻っていた』 ～正体を隠してVTuberになったら、ダンジョン配信で世界最強だとバレました～</t>
  </si>
  <si>
    <t>https://kakuyomu.jp/works/2912051605166648134</t>
  </si>
  <si>
    <t>元に戻っただけだ――あっ、そういえば俺、女だったわ。</t>
  </si>
  <si>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</si>
  <si>
    <t>ダンジョン配信|俺TEEEE|Vtuber|TS|AI本文使用</t>
  </si>
  <si>
    <t>流れ者のおっさん、なんか強い。</t>
  </si>
  <si>
    <t>ファンタスティック小説家</t>
  </si>
  <si>
    <t>https://kakuyomu.jp/works/2912051607199056455</t>
  </si>
  <si>
    <t>何事も過程こそが楽しい</t>
  </si>
  <si>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</si>
  <si>
    <t>主人公最強|おっさん|剣士|魔法|隠れた実力者|カクヨムオンリー|コメディ|成り上がり</t>
  </si>
  <si>
    <t>いずれ全能の大魔王へ至る暴食者〜喰らった相手のスキルを奪い、襲い来る敵達を返り討ちにして世界最強へ〜</t>
  </si>
  <si>
    <t>無名</t>
  </si>
  <si>
    <t>https://kakuyomu.jp/works/2912051598629273143</t>
  </si>
  <si>
    <t>異界人・英雄・勇者・魔王など、数多の強者からスキルを奪う</t>
  </si>
  <si>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</si>
  <si>
    <t>異世界|魔物転生|成長|主人公最強|魔王|勇者|強奪|AI補助利用</t>
  </si>
  <si>
    <t>レベル０な無能悪役貴族のノブレスオブリージュ～転生したらチートもなく死亡フラグしかなかったので、知識チートで全てをへし折る！～</t>
  </si>
  <si>
    <t>https://kakuyomu.jp/works/2912051598760105457</t>
  </si>
  <si>
    <t>増えた銀貨を使ってスラム街に住んでる下民を働かせたらまた銀貨が増える！</t>
  </si>
  <si>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</si>
  <si>
    <t>転生|成り上がり|知識チート|領地経営|ノブレスオブリージュ|貴族|救済|がっぽがっぽ</t>
  </si>
  <si>
    <t>魔力０なのに名門魔法学校に入学した俺、ダンジョンに置き去りにされる</t>
  </si>
  <si>
    <t>唐土唐助</t>
  </si>
  <si>
    <t>https://kakuyomu.jp/works/2912051601772429444</t>
  </si>
  <si>
    <t>最強のモンスターと共存して、ダンジョンを生き抜く</t>
  </si>
  <si>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</si>
  <si>
    <t>学園|魔力無し|置き去り|魔法|覚醒|ざまぁ|人外|ラブコメ</t>
  </si>
  <si>
    <t>前世で遊んでいたアウトロー系アプリゲームのキャラクター達を召喚したら、いつの間にか裏社会のドンになっていたんですけど？</t>
  </si>
  <si>
    <t>Crosis@奴隷使役重版決定！！</t>
  </si>
  <si>
    <t>https://kakuyomu.jp/works/2912051603718210639</t>
  </si>
  <si>
    <t>私はただのオジさんですっ！（どうしてこうなったのですかっ！）</t>
  </si>
  <si>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</si>
  <si>
    <t>悪役|裏社会|異世界|俺tueee|おっさん|ハーレム</t>
  </si>
  <si>
    <t>転生した凡人は天才に憧れ努力を続ける</t>
  </si>
  <si>
    <t>https://kakuyomu.jp/works/2912051599423692353</t>
  </si>
  <si>
    <t>天才達に憧れ続けた凡人の物語</t>
  </si>
  <si>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</si>
  <si>
    <t>転生|努力|冒険者|魔法|剣</t>
  </si>
  <si>
    <t>異世界転移に紛れ込んだおっさんは静かに世界を燃やす</t>
  </si>
  <si>
    <t>柊木犀</t>
  </si>
  <si>
    <t>https://kakuyomu.jp/works/2912051599523320748</t>
  </si>
  <si>
    <t>頼るのは己の勘、不穏な世界を灰燼と化していくおっさんの放浪譚</t>
  </si>
  <si>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</si>
  <si>
    <t>カクヨムオンリー|アラフォー|容赦なし|主人公最強？|年齢相当|男主人公|クラス転移|シリアス</t>
  </si>
  <si>
    <t>迷宮都市の石路〜その日暮らしの転生者〜</t>
  </si>
  <si>
    <t>https://kakuyomu.jp/works/2912051595259985810</t>
  </si>
  <si>
    <t>転生者は迷宮の未知なんてどうでもよかった。ただ生きていければそれだけで</t>
  </si>
  <si>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</si>
  <si>
    <t>カクヨムオンリー|異世界転生|魔法|ファンタジー|ダンジョン|男主人公|成長|男性向け</t>
  </si>
  <si>
    <t>誰だ、そよ風のレオンなんて言った奴は！</t>
  </si>
  <si>
    <t>暇野無学</t>
  </si>
  <si>
    <t>https://kakuyomu.jp/works/822139836880422144</t>
  </si>
  <si>
    <t>奴は化け物だぞ。そよ風の名に騙されて酷い目にあっちまったじゃねえか！</t>
  </si>
  <si>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</si>
  <si>
    <t>風魔法|冒険者|スキル|精霊|成り上がり</t>
  </si>
  <si>
    <t>魔王を倒して消えた勇者は一年後に帰還した。俺を死んだと思っていた四人のヤンデレが手放してくれない</t>
  </si>
  <si>
    <t>秋雨 淳@毎日2回以上更新</t>
  </si>
  <si>
    <t>https://kakuyomu.jp/works/2912051606423922712</t>
  </si>
  <si>
    <t>俺は元の世界へ帰るつもりで消えた。彼女たちは、俺が死んだと思っていた。</t>
  </si>
  <si>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</si>
  <si>
    <t>ヤンデレ|ハーレム|執着|重い愛|曇らせ|異世界転生|勇者|泥沼</t>
  </si>
  <si>
    <t>最強おじさん宇宙へ行く　喋る宇宙船と魔法で無双する話</t>
  </si>
  <si>
    <t>タビサキ リョジン</t>
  </si>
  <si>
    <t>https://kakuyomu.jp/works/2912051605637151413</t>
  </si>
  <si>
    <t>SFの皮を被った異世界ファンタジーだと思えば大体あってる。</t>
  </si>
  <si>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</si>
  <si>
    <t>カクヨムオンリー|喋る宇宙船|スペースオペラ|主人公最強|【不使用】AI 生成</t>
  </si>
  <si>
    <t>【第一章完結】とぼけたS級冒険者と悪役令嬢</t>
  </si>
  <si>
    <t>佐倉真稀</t>
  </si>
  <si>
    <t>https://kakuyomu.jp/works/2912051602109856395</t>
  </si>
  <si>
    <t>追放上等！生き抜いてやるわ！ところで、貴方護衛お願いできる？</t>
  </si>
  <si>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</si>
  <si>
    <t>異世界転生|悪役令嬢|冒険者|乙女ゲーム|イケオジ</t>
  </si>
  <si>
    <t>この【オープンワールド】ってユニークスキル、実はヤバい気がする</t>
  </si>
  <si>
    <t>東出祐一郎</t>
  </si>
  <si>
    <t>https://kakuyomu.jp/works/2912051602444081482</t>
  </si>
  <si>
    <t>【第一部完結！】そうか……物理バグとやらで人は死ぬのか……</t>
  </si>
  <si>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</si>
  <si>
    <t>カクヨムオンリー|ユニークスキル|いずれ最強|成り上がり|オープンワールド|物理演算バグ</t>
  </si>
  <si>
    <t>追放されたので田舎でのんびり理想の錬金術暮らしを満喫する筈が、なぜか世界再誕の英傑と言われている～国を築いて王女や公爵令嬢と結婚したら、のんびりできないんじゃ？～</t>
  </si>
  <si>
    <t>相野仁</t>
  </si>
  <si>
    <t>https://kakuyomu.jp/works/2912051605481146115</t>
  </si>
  <si>
    <t>マスター、「造化」は天地を創造するという意味です（できそうですね）</t>
  </si>
  <si>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</si>
  <si>
    <t>追放|男主人公|ハーレム|SUGEEEE|錬金術|ざまぁ|勘違い？</t>
  </si>
  <si>
    <t>転生付与術師オーレリアの難儀な婚約</t>
  </si>
  <si>
    <t>カレヤタミエ</t>
  </si>
  <si>
    <t>https://kakuyomu.jp/works/16818792436546970549</t>
  </si>
  <si>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</si>
  <si>
    <t>ファンタジー|異世界恋愛|女主人公|異世界転生|女性向け</t>
  </si>
  <si>
    <t>王家待望の末っ子王子、溺愛してくる五人の姉に開拓されながら気軽に無双する</t>
  </si>
  <si>
    <t>風遊ひばり</t>
  </si>
  <si>
    <t>https://kakuyomu.jp/works/822139846195913224</t>
  </si>
  <si>
    <t>戦闘メイドゴーレムはロマン！（力説）</t>
  </si>
  <si>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</si>
  <si>
    <t>転生|末っ子王子|王女|無双|戦闘メイドゴーレム|こいつら全員最強過ぎない？|癖の渋滞</t>
  </si>
  <si>
    <t>婚約破棄された加護なし令嬢、前世の知識で絶品あったかご飯を作ります～嫁ぎ先の極寒の隣国で、皆から恐れられる【狂犬皇子】が、毎食おかわりを要求して離してくれません</t>
  </si>
  <si>
    <t>茨木野</t>
  </si>
  <si>
    <t>https://kakuyomu.jp/works/2912051606588785996</t>
  </si>
  <si>
    <t>魔力ゼロだけど、前世の料理スキルと知識で無双します！</t>
  </si>
  <si>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</si>
  <si>
    <t>女主人公|チートなし|婚約破棄|ざまぁ|追放|溺愛|グルメ|もう遅い</t>
  </si>
  <si>
    <t>圏外落ち</t>
  </si>
  <si>
    <t>スキルのせいで性別も種族も変わったんだが？！</t>
  </si>
  <si>
    <t>おでんの中のがんもどき</t>
  </si>
  <si>
    <t>期待して手に入れたスキル…それは『魔女』いやいや、俺男なんだが…</t>
  </si>
  <si>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</si>
  <si>
    <t>喫茶店のマスターはバイトのJKを救うためにダンジョンへ向かうそうですよ？～ダンジョン配信で人気の女子高校生を救ったおじさん、実はダンジョン黎明期を戦って今の日本を作った生きる伝説でした～</t>
  </si>
  <si>
    <t>最前線から退いても最強のおじさんは、バイトのJKと共に今一度成り上がる</t>
  </si>
  <si>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</si>
  <si>
    <t>いきなり許嫁候補！？ ～分家序列最下位からの成り上がり？！私、望んでませんから！ほっといてくださいよ！～</t>
  </si>
  <si>
    <t>天野建</t>
  </si>
  <si>
    <t>記憶を持ったまま、転生した！？　よろしい！先行逃げ切りを目指そう！</t>
  </si>
  <si>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</si>
  <si>
    <t>領地を救うため命を捧げた俺、忘れてほしいのに許嫁も聖女もメイドも誰ひとり忘れてくれない　〜俺の記念日を作るとか、聖人認定するとか、復讐するとかやめてください〜</t>
  </si>
  <si>
    <t>三船十矢</t>
  </si>
  <si>
    <t>「誰も彼も、あなたを忘れられないようにしますから」</t>
  </si>
  <si>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</si>
  <si>
    <t>異世界転生･･････ってマイナススタートかよ!?〜前世でも嫌われ、転生先でも嫌わている俺は自由を掴むために好感度を稼ぐ〜</t>
  </si>
  <si>
    <t>前世でも転生しても嫌われるのは勘弁だぞ!?</t>
  </si>
  <si>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</si>
  <si>
    <t>「今日で英雄辞めます」世界を裏から救っていた第零魔法師が学園へ青春しに行った結果、残された国家上層部が崩壊寸前なんだが？</t>
  </si>
  <si>
    <t>世界を救うより、放課後に友達と買い食いする方が難しい</t>
  </si>
  <si>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</si>
  <si>
    <t>rank_prev</t>
  </si>
  <si>
    <t>rank_change</t>
  </si>
  <si>
    <t>あらすじ</t>
  </si>
  <si>
    <t>ep_gain</t>
  </si>
  <si>
    <t>growth_pct</t>
  </si>
  <si>
    <t>star_prev</t>
  </si>
  <si>
    <t>work_id</t>
  </si>
  <si>
    <t>7667601420112820499</t>
  </si>
  <si>
    <t>2912051607041182131</t>
  </si>
  <si>
    <t>2912051605388942408</t>
  </si>
  <si>
    <t>2912051604136221250</t>
  </si>
  <si>
    <t>2912051605688903855</t>
  </si>
  <si>
    <t>2912051606349982956</t>
  </si>
  <si>
    <t>日数帯</t>
  </si>
  <si>
    <t>観測数</t>
  </si>
  <si>
    <t>スター中央</t>
  </si>
  <si>
    <t>スター下限</t>
  </si>
  <si>
    <t>スター25p</t>
  </si>
  <si>
    <t>スター75p</t>
  </si>
  <si>
    <t>話数中央</t>
  </si>
  <si>
    <t>スター/日中央</t>
  </si>
  <si>
    <t>〜7日</t>
  </si>
  <si>
    <t>8-14日</t>
  </si>
  <si>
    <t>15-21日</t>
  </si>
  <si>
    <t>22-30日</t>
  </si>
  <si>
    <t>31-45日</t>
  </si>
  <si>
    <t>46-60日</t>
  </si>
  <si>
    <t>61-90日</t>
  </si>
  <si>
    <t>91-180日</t>
  </si>
  <si>
    <t>181-400日</t>
  </si>
  <si>
    <t>400日〜</t>
  </si>
  <si>
    <t>滞在日数</t>
  </si>
  <si>
    <t>観測回数</t>
  </si>
  <si>
    <t>初回順位</t>
  </si>
  <si>
    <t>最終順位</t>
  </si>
  <si>
    <t>最高順位</t>
  </si>
  <si>
    <t>順位変動</t>
  </si>
  <si>
    <t>実測スター増</t>
  </si>
  <si>
    <t>実測スター/日</t>
  </si>
  <si>
    <t>最終経過日数</t>
  </si>
  <si>
    <t>魔法学園ヤマダ～転生するなら魔法学園とかやりたいって言っただけなのに～</t>
  </si>
  <si>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</si>
  <si>
    <t>休日を充実させたい転生者、周囲から「彼はもっとすごいのに」と思われている</t>
  </si>
  <si>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</si>
  <si>
    <t>【書籍化決定】クラス転移したけど俺だけステータス表記が違った</t>
  </si>
  <si>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</si>
  <si>
    <t>女尊男卑な異世界で拾った孤児をひたすら優しく育てるのは後がまずい</t>
  </si>
  <si>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</si>
  <si>
    <t>異世界帰りの勇者は家族と過ごす為に働きます</t>
  </si>
  <si>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</si>
  <si>
    <t>隠居したいC級おっさんダイバー、世界最強になった弟子たちのせいで実力がバレる～ずっと空席だった世界ランク1位が俺だって？　いや、聞いてないけど～</t>
  </si>
  <si>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</si>
  <si>
    <t>陰陽師世界に転生したので最狂の呪術教団を立ち上げてみた〜地獄でめっちゃ修行を積んだら、いつのまにか最強になってました〜</t>
  </si>
  <si>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</si>
  <si>
    <t>姉に無職だと思われているAランク探索者の俺、企業VTuberの初ダンジョン配信を“ヒーロー見参”で救ったら謎ヒーローとしてバズった</t>
  </si>
  <si>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</si>
  <si>
    <t>僕と彼女の猟奇的な日常 ――怪物を倒せば金になる。壊れた日本で始まる、成り上がり現代ファンタジー――</t>
  </si>
  <si>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</si>
  <si>
    <t>【書籍化＆コミカライズ決定】会社をクビになった俺、深夜ダンジョンでゴミ拾いしてたら【鑑定】が覚醒して配信界のトップになった</t>
  </si>
  <si>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</si>
  <si>
    <t>捨てられたオレは、一億年後に世界を追い越す ～不老なのをいいことに、移りゆく世代を眺めながら辺境で気ままに過ごしていたら、知らないうちにレベルが限界を振り切っていました～</t>
  </si>
  <si>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</si>
  <si>
    <t>魔導甲冑の二人乗りが告白より重い世界で、うっかり無敗の首席を誘ってしまった</t>
  </si>
  <si>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</si>
  <si>
    <t>ハズレ職【人形師】の俺、作った自動人形〈オートマタ〉が美少女すぎてダンジョン配信でバズる</t>
  </si>
  <si>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</si>
  <si>
    <t>俺だけ十年後が見えるので、誰も見向きもしない未来の剣聖に全財産つぎ込んだら執着された～悪徳ギルドを追放された原石鑑定士～</t>
  </si>
  <si>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</si>
  <si>
    <t>ハズレスキル「小箱」　〜異世界でも四畳半あれば生きていける〜</t>
  </si>
  <si>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</si>
  <si>
    <t>生産職なのに最強テイマーと呼ばれている件～箱庭に棲みついた神獣どもが好き放題している～</t>
  </si>
  <si>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</si>
  <si>
    <t>在庫無限の遅咲き冒険者　～道具を使っても減らないので、万年下級冒険者を卒業します～</t>
  </si>
  <si>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</si>
  <si>
    <t>戦闘では役立たずのレアジョブ『ドローン操縦士』を手に入れた俺、配信やら輸送やらの仕事をしていたらいつの間にか最強の艦隊を手に入れてました</t>
  </si>
  <si>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</si>
  <si>
    <t>赤ん坊に死に戻りした魔法が使えない残念子爵、二周目の人生で徹底的に魔力を鍛えてリベンジする。～魔法大国が敗北して大切なモノを全て失う未来を、僕が変えてやる！～</t>
  </si>
  <si>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</si>
  <si>
    <t>終末世界の帰還錬金術師　～日本に戻ったら人類と悪魔が戦争をしていましたが、異世界で勇者になれなかった俺達はスルーして適当に生きたいと思います～</t>
  </si>
  <si>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</si>
  <si>
    <t>Sランク冒険者パーティを追放されたら、ドラゴンが付いてきました。</t>
  </si>
  <si>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</si>
  <si>
    <t>【存在強奪】 ～やけくそでダンジョンに素手特攻したら、存在もスキルもステータスも奪える能力に目覚めました～</t>
  </si>
  <si>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</si>
  <si>
    <t>無能と追放された最弱ヒーラー、初期ヒールしか使えないが【魔力無限】で無双する 〜冒険者を辞めて近所の接骨院を継いだら、高位魔法でも治せない重度麻痺のVIP達が押し寄せて大繁盛しています〜</t>
  </si>
  <si>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</si>
  <si>
    <t>治癒士はいらないと勇者パーティーを追い出されたおっさん、盲目のエルフを治したら惚れられてしまったんだが</t>
  </si>
  <si>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</si>
  <si>
    <t>【透視チート】会社をクビになった俺、ダンジョン配信でバズって人生逆転する【更新休止中】</t>
  </si>
  <si>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</si>
  <si>
    <t>左遷⇒軟禁された新米宝物庫番、【俺メンタルTUEEE】で呪物たちと超快適な10年休暇を満喫していたら、勝手に世界が救われる無自覚無双　～安楽椅子英雄の宝物庫改革～</t>
  </si>
  <si>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</si>
  <si>
    <t>女神の手違いで異世界転生をキャンセルされた社畜ですが、残った能力で現代の回復師になります</t>
  </si>
  <si>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</si>
  <si>
    <t>『勇者召喚に巻き込まれた30歳、文字化けスキルで辺境追放されました 〜翌日補充の移動販売車と神眼と絶対防御で、異世界の暮らしを立て直します〜』</t>
  </si>
  <si>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</si>
  <si>
    <t>アラフィフおっさん、貞操観念逆転の1995年で2度目の大学生活を満喫する</t>
  </si>
  <si>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</si>
  <si>
    <t>ハズレと笑われた『罠』スキルの俺、実は超激レアなチートスキルでした　〜剣も魔法も必要なし。手ぶらの罠使い史上初のソロ踏破へ〜</t>
  </si>
  <si>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</si>
  <si>
    <t>この乙女ゲームの攻略情報は、妹だけが知っている〜主人公の師匠ポジになってしまった兄より〜</t>
  </si>
  <si>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</si>
  <si>
    <t>魔法が使えない俺のボロ銭湯に、世界最強の英雄たちがこっそり通ってくる</t>
  </si>
  <si>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</si>
  <si>
    <t>病弱だった俺、宇宙帝国の王子に転生する ～オーバーテクノロジーで前世の家族を救います～</t>
  </si>
  <si>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</si>
  <si>
    <t>ダンジョンブレイクから復興した現代世界で、最強を目指してひたすらストイックに強さを求める。</t>
  </si>
  <si>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</si>
  <si>
    <t>帰還者スキル鑑定で『解体Lv1』と笑われた俺、ダンジョン最速攻略者になる〜帰還者最弱認定の俺が、なぜか業界を引っ掻き回している件〜</t>
  </si>
  <si>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</si>
  <si>
    <t>異世界に転生したので裏社会から支配する</t>
  </si>
  <si>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</si>
  <si>
    <t>名もなき料理屋のまかない飯 〜僕の【箱庭】に住み着いた住人は、全員10cmの伝説級でした〜</t>
  </si>
  <si>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</si>
  <si>
    <t>ダンジョンマスターに転生して早30年、昔のクラスメイト達が勇者として召喚されてきてるんだが！？</t>
  </si>
  <si>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</si>
  <si>
    <t>ダンジョン最下層の定住者 〜視聴者0だと思って自炊配信していたら、人類未踏エリアの住人としてバズってしまった〜</t>
  </si>
  <si>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</si>
  <si>
    <t>現代にダンジョンが出来たので好色に生きようと思います</t>
  </si>
  <si>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</si>
  <si>
    <t>【コミカライズ連載公開間近！】あやかしダンジョン配信記～都落ちした底辺配信者の俺、マヨイガに閉じ込められたので美少女座敷わらしと共にダンジョン配信したらバズって大変な事に～</t>
  </si>
  <si>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</si>
  <si>
    <t>貞操逆転マシマシで！異世界で静かに暮らす予定なのに、なぜか王女だのエルフだの魔族だのが求婚してきて困ってます。え？ここ貞操逆転世界だったんですか？</t>
  </si>
  <si>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</si>
  <si>
    <t>虫嫌いの蟲使い。〜潔癖症の僕、安全な民間ダンジョンで引きこもりながら、虫に時給5万円稼がせる〜</t>
  </si>
  <si>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</si>
  <si>
    <t>神造のストライカー～男はサッカーの神に愛される～</t>
  </si>
  <si>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</si>
  <si>
    <t>その転生者はスキルも魔法も【視て盗む】〜異世界転生ものが大好きな男の異世界転生〜</t>
  </si>
  <si>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</si>
  <si>
    <t>異世界で下っ端魔物として再就職しました。</t>
  </si>
  <si>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</si>
  <si>
    <t>モンスター系ダンジョン配信者〜ニンゲン嫌いの僕は、モンスターを布教しながら最強となる〜</t>
  </si>
  <si>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</si>
  <si>
    <t>【25万PV大感謝】TS転生した元神絵師は、Vtuberのママになって娘とてぇてぇがしたい！</t>
  </si>
  <si>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</si>
  <si>
    <t>【貸付スキル】でAランクパーティを支えていた俺、『役立たず』と追放されたので、貸していた力を複利で回収して最強になる～じゃあ利子もつけて全部返してもらうので、後は自分たちの力で頑張ってください～</t>
  </si>
  <si>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</si>
  <si>
    <t>異世界帰還者の俺、田舎でキャンプ場経営しながら料理していたらなぜか人類最強のS級認定され無双する</t>
  </si>
  <si>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</si>
  <si>
    <t>異世界を救った元勇者。今度は戻ってきた現代でダンジョン配信をして成り上がろうと思います！！〜異世界での知識を使おうにも役に立ちません〜</t>
  </si>
  <si>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</si>
  <si>
    <t>異世界チートでのんびり農業生活</t>
  </si>
  <si>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</si>
  <si>
    <t>悪役貴族に転生した戦略ゲーオタクは推しのヤンデレ悪役令嬢を支えるようです</t>
  </si>
  <si>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</si>
  <si>
    <t>災禍級魔術師はサイコロを砕く　～正史ルートだとバッドエンド直行のゲーム世界に転生したから特殊エンディングを目指していたら、ネームドキャラたちに執着されてヤバいことになった件～</t>
  </si>
  <si>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</si>
  <si>
    <t>極悪貴族、謙虚堅実に無双する～原作知識と固有魔法＜虚空＞を駆使して、破滅エンドを回避します～</t>
  </si>
  <si>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</si>
  <si>
    <t>右手から味噌汁を出せるというあまりにも強すぎる能力</t>
  </si>
  <si>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</si>
  <si>
    <t>狩友迷宮録　〜好きなゲームのジャンルが無くてダンジョンがある世界で〜</t>
  </si>
  <si>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</si>
  <si>
    <t>現実時間1秒で100年修行したF級探索者、自分だけ時間の止まった世界で最強の達人になっていた〜S級モンスターの群れを瞬殺したら、配信カメラにバッチリ映り込んでネットでバズった～</t>
  </si>
  <si>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</si>
  <si>
    <t>限界社畜のVR開拓記〜クビになったらVIP客が元職場を滅ぼした〜</t>
  </si>
  <si>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</si>
  <si>
    <t>【書籍化進行中！】ダンジョン湖畔の休憩地 〜限定オリジンスキルで始めた小さな宿屋に、探索者たちが帰ってくる〜</t>
  </si>
  <si>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</si>
  <si>
    <t>異世界をSFな力で生きていく</t>
  </si>
  <si>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</si>
  <si>
    <t>元一般人、妖術師達の戦争で敵側ヒロインを襲い犯し奪い、褒美としてヒロインを抱きまくる、略奪ハーレム、現代バトル、主人公最強、現代ファンタジー</t>
  </si>
  <si>
    <t>時は現代、世は妖術師達の戦争。
地に眠る霊脈を独占する為に争い続ける妖術師の物語。
そして、敵組織のヒロインを奪いハーレムに加える物語。</t>
  </si>
  <si>
    <t>死刑囚（濡れ衣）に転生した俺、冤罪を晴らすため脱獄したらうっかり極悪人たちを救ってしまい、なぜか最凶結社の『総帥』として世界を震撼させている件</t>
  </si>
  <si>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</si>
  <si>
    <t>ベートーヴェンのいない世界で 〜35歳のプロピアニストが12歳に転生し、ロックもビートルズも知らない停滞した音楽史をバックビートで蹂躙する〜</t>
  </si>
  <si>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</si>
  <si>
    <t>ダンジョン配信者JK、壊れた魔道具は叩いて直す～お金がないので拾った魔道具で無双してたら推しのゆるふわ人気配信者に目をつけられてしまいました〜</t>
  </si>
  <si>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</si>
  <si>
    <t>「俺ごとやれぇッ！」して、四天王最弱を倒した俺、生き残ってしまった結果、仲間達が曇った……けど、安心してくれ皆。役立たずにはならないから、さ。</t>
  </si>
  <si>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</si>
  <si>
    <t>傭兵まがい辺境領主の俺に嫁いできた悪役令嬢があまりにも可愛い</t>
  </si>
  <si>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</si>
  <si>
    <t>小物の悪役王子に転生したので0歳から瞑想してたら最強になった ～原作には関わりたくないのに王女と女勇者が離れてくれない～</t>
  </si>
  <si>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</si>
  <si>
    <t>㊗️本編完結㊗️ Q. 魔法の才能ゼロの令嬢に最強ジジイが科学を教えたら？👉A.めっちゃ無双する：【才無し侯爵令嬢と魔法ジジイの科学革命】</t>
  </si>
  <si>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</si>
  <si>
    <t>現実がサクセスモードになったので、サッカーで能力値オールSを目指してみる。</t>
  </si>
  <si>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</si>
  <si>
    <t>同接ゼロの底辺ダンジョン配信者、死にかけたら神スキル『深淵適応』で最強になってました</t>
  </si>
  <si>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</si>
  <si>
    <t>世界最強の後衛　～迷宮国の新人探索者～</t>
  </si>
  <si>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</si>
  <si>
    <t>高校生冒険者は、まだ何者でもない</t>
  </si>
  <si>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</si>
  <si>
    <t>追放された祈祷師は、辺境の姫騎士様に拾われる。〜戦えない僕の祈りで〝呪われ姫〟を最強の神剣使いに。戻ってこいと言われても、もう遅い〜</t>
  </si>
  <si>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</si>
  <si>
    <t>オタクに優しいギャル達と始める異世界生活〜スキル【クラフト】で最高に快適な拠点を作ります。</t>
  </si>
  <si>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</si>
  <si>
    <t>世界崩壊後、日常生活スキルで俺が最強拠点を作ってしまった件</t>
  </si>
  <si>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</si>
  <si>
    <t>苗床エンド回避したいモブ貴族、ヒロイン救うたび激重強化を多重付与される</t>
  </si>
  <si>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</si>
  <si>
    <t>周りがチート持ち転移者と転生者だらけの異世界で、俺の固有スキルが【日本帰還】だった。～日本に未練のある祝福者達を助けていたら、ヤバい集団ができてしまった件～『書籍化決定！』</t>
  </si>
  <si>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</si>
  <si>
    <t>転職のスキル授かったらそりゃ全職極めるに決まってんだろ</t>
  </si>
  <si>
    <t>人より道のりは長いが、ダンジョン中毒の彼にはあまり関係がない。</t>
  </si>
  <si>
    <t>国家契約の救助探索者、配信中の美人探索者を救ったら“回収屋”としてバズり始めた</t>
  </si>
  <si>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</si>
  <si>
    <t>ダンジョン最深部の双子の竜を倒したら、なぜか懐かれて同居することになった件〜最強の双子竜を拾ったら、気楽な探索者生活が終わりました〜</t>
  </si>
  <si>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</si>
  <si>
    <t>親に放置された四歳の末娘ですが、前世の知識で家のお金の使い込みを見つけて追放されました〜もふもふ聖獣と、おいしいものを食べる旅に出ます〜</t>
  </si>
  <si>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</si>
  <si>
    <t>異世界帰還者、壊れた魔法少女たちからの愛が重すぎる</t>
  </si>
  <si>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</si>
  <si>
    <t>崩壊世界でマンション暮らし　～家賃はきっちりもらいます</t>
  </si>
  <si>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</si>
  <si>
    <t>使用人扱いの俺、実は世界唯一たる竜王の契約者</t>
  </si>
  <si>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</si>
  <si>
    <t>覗き穴ダンジョン～失業して自宅警備中の俺の部屋の壁にダンジョンの深淵を覗ける穴が空いた件</t>
  </si>
  <si>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</si>
  <si>
    <t>転生して３５年、その日暮らしのD級冒険者やってます。</t>
  </si>
  <si>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</si>
  <si>
    <t>魔法至上世界のガンスミス〜魔法を超える銃を作っていたら最強集団が出来ていた〜</t>
  </si>
  <si>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</si>
  <si>
    <t>異世界の館で通訳として働いてた俺、看板娘をしてたら勇者パーティに同行させられる</t>
  </si>
  <si>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</si>
  <si>
    <t>【書籍化】魔術帝の参謀は二度目の破滅を打ち砕く</t>
  </si>
  <si>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</si>
  <si>
    <t>異世界帰りの勇者は、ダンジョンが出現した現実世界で、インフルエンサーになって金を稼ぎます！</t>
  </si>
  <si>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</si>
  <si>
    <t>クビ寸前に成長期を迎えてしまった凡人魔術師のおっさん 〜数年ぶりに古巣へ帰還したらなぜか天災扱いだった件〜</t>
  </si>
  <si>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</si>
  <si>
    <t>ダンジョン攻略JK配信者、配信の切り忘れに気づかず特級モンスターを一方的にボコった結果伝説となる</t>
  </si>
  <si>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</si>
  <si>
    <t>全知ナビと世界の裏側を散歩する</t>
  </si>
  <si>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</si>
  <si>
    <t>領民0人スタートの辺境領主様</t>
  </si>
  <si>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</si>
  <si>
    <t>十年間、誰にも信じてもらえなかった俺の確率操作が本物だったので、ブラック企業を辞めて人生のハズレを全部消すことにした</t>
  </si>
  <si>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</si>
  <si>
    <t>学校転移したら全員有能すぎて過酷な異世界に現代文明国家を築いてしまった……。</t>
  </si>
  <si>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</si>
  <si>
    <t>寝取られ裏切られた最弱テイマー〜逆境を跳ね除け相棒のスライムと最強へ成り上がれ。許して？やり直して？絶対にイヤだね〜</t>
  </si>
  <si>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</si>
  <si>
    <t>前世オタクの私が魔法少女は解釈違い！</t>
  </si>
  <si>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</si>
  <si>
    <t>病弱貴族になった俺、治癒魔法をかけながら戦えばいいことが判明する（※血反吐付き）</t>
  </si>
  <si>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</si>
  <si>
    <t>追い出された無能貴族が住み着いたボロ家の庭の木が聖なる木だった〜美女から聖獣まで生み出す最強の木で無双成り上がり生活</t>
  </si>
  <si>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</si>
  <si>
    <t>迷宮の退路が見える俺、区役所ダンジョン課をクビになったので救助配信を始める 〜炎上VTuberを助けたら、人命特化の攻略チャンネルが日本一になりました〜</t>
  </si>
  <si>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</si>
  <si>
    <t>分身スキルの最強戦術って自爆特攻じゃね？</t>
  </si>
  <si>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</si>
  <si>
    <t>誇り高き踏み台になろう！！</t>
  </si>
  <si>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</si>
  <si>
    <t>TS魔法少女はダークヒーローになりたい</t>
  </si>
  <si>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</si>
  <si>
    <t>幼馴染を寝取られ、学園に殺された無能力の俺は最強になって帰ってくる</t>
  </si>
  <si>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</si>
  <si>
    <t>気が付いたらゲームの主人公になってたから悪役令息に全部押し付けようと思う</t>
  </si>
  <si>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</si>
  <si>
    <t>異世界市場</t>
  </si>
  <si>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</si>
  <si>
    <t>【書籍第1巻発売中】異世界で猫に転生したおれ、最凶傭兵団に拾われる</t>
  </si>
  <si>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</si>
  <si>
    <t>【書籍化】雑用スキルで生き延びる　―リストラ社会人のソロダンジョン攻略記―</t>
  </si>
  <si>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</si>
  <si>
    <t>【完結済】悪役イケメン王子に転生しちゃったおじさん</t>
  </si>
  <si>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</si>
  <si>
    <t>パワハラで会社を辞めた俺、どんな船でも作れるスキルで海に出る〜前世の知識で商売してたら、いつの間にかとんでもない大金持ちになっていた〜</t>
  </si>
  <si>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</si>
  <si>
    <t>捨てられ勇者が魔王を倒したら、その娘たちに拾われて監禁されたんだが。</t>
  </si>
  <si>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</si>
  <si>
    <t>【完結】強制労働施設から逃げたら、魔法少女のいる世界でTSしたので自由に生きる</t>
  </si>
  <si>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</si>
  <si>
    <t>ゲーム世界に転生したら農家の息子だった</t>
  </si>
  <si>
    <t>駆け引き上等な異能力バトル系の悪役に転生したが、アホなので高度な頭脳戦がわかりません。物理を魔術と言いはって無双します</t>
  </si>
  <si>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</si>
  <si>
    <t>神様の目で世界の全部が視えている俺は、今日も『たまたま』で通したい</t>
  </si>
  <si>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</si>
  <si>
    <t>尻尾を触らせてもらっただけなのに、ドラゴンのお姫様が離してくれません ～一途すぎるドラゴン姫は、番を絶対に逃がさない～</t>
  </si>
  <si>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</si>
  <si>
    <t>スキル『ダンジョンシェルター』</t>
  </si>
  <si>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</si>
  <si>
    <t>【書籍化】凡人の俺は『元』天才令嬢のご奉仕で最強になるらしい～魔力を失って落ちこぼれたお嬢様の代わりに使い魔としてＨなことをしてもらって戦います～</t>
  </si>
  <si>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</si>
  <si>
    <t>【配信中】何でも屋の魔法使いですが、依頼が毎回キチガイじみてて草</t>
  </si>
  <si>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</si>
  <si>
    <t>ダンシングシーカー ～異世界帰りのおっさん、現代ダンジョンで今日も踊る～</t>
  </si>
  <si>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</si>
  <si>
    <t>努力厨の転生無双～才能だけが足りなかった男、環境・容姿・運すべてを手に入れ最強となる～</t>
  </si>
  <si>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</si>
  <si>
    <t>勇者パーティーの回復術師、平和な世界で壊れてゆく～仲間の傷を未来の自分に預けていたら、真実を知った仲間が曇った～</t>
  </si>
  <si>
    <t>自己犠牲と自己陶酔は紙一重だなと。</t>
  </si>
  <si>
    <t>人間嫌いのハイエルフ、父になる</t>
  </si>
  <si>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</si>
  <si>
    <t>二つ名が恥ずかしくなって新大陸へ逃げたオジサン、師匠ムーブしていたら再び有名になり始める</t>
  </si>
  <si>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</si>
  <si>
    <t>「ただの清掃員はお呼びじゃない」とS級配信パーティを追放されたおっさん、最深部でゴミ処理スキルで神話級竜をワンパン浄化〜配信事故で世界が熱狂する中、懐いてきた元・竜姫と優雅なティータイム中〜</t>
  </si>
  <si>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</si>
  <si>
    <t>ダンジョンツインズ　〜元人間のダンジョンマスターと誇り高いダンジョンコアは、共依存の果てに国を滅ぼす〜</t>
  </si>
  <si>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</si>
  <si>
    <t>元最強賢者の俺、千年後に転生して魔法学園へ～落第と笑った貴族をざまぁし、再会した長命種の美人弟子たちに囲まれて無双する～</t>
  </si>
  <si>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</si>
  <si>
    <t>冴えない中年平社員、見た技と異能をコピーして企業代理戦で成り上がる</t>
  </si>
  <si>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</si>
  <si>
    <t>追放された宮廷魔道具師、自作寝具で休んでいたら、王子の婚約者を寝取ってしまう</t>
  </si>
  <si>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</si>
  <si>
    <t>就職先が倒産したので牧場を継いだら、俺だけ馬の声が聞こえるようになりました</t>
  </si>
  <si>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</si>
  <si>
    <t>誰も来ない図書館の司書になったはずが、なぜか王都の英雄たちがひっきりなしに訪ねてくる</t>
  </si>
  <si>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</si>
  <si>
    <t>滅亡一歩手前の悪徳貴族、地下室で見つけた古代の魔法書が「日本語」だったので無双できそうです</t>
  </si>
  <si>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</si>
  <si>
    <t>スキル『秘境発見』で別次元の魔王様が集うBARを発見しました　～魔王様に『お前んとこの魔法、レベルひっく！』と馬鹿にされたので高次元魔法とやらを教えてもらいました～</t>
  </si>
  <si>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</si>
  <si>
    <t>十一人のうち、俺だけが“召喚”ではなく“帰還”だった</t>
  </si>
  <si>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</si>
  <si>
    <t>魔力ゼロの田舎娘、誰にも触れられない最強皇女の禁呪を吸い尽くす～私にだけ抱きついてくる皇女様が、今日もキスを迫ってきます～</t>
  </si>
  <si>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</si>
  <si>
    <t>好感度が反転したヤンデレ達の記憶が戻ったが、壊れてしまった関係値が元に戻ることはありません</t>
  </si>
  <si>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</si>
  <si>
    <t>怪人の胎から生まれたけど、魔法少女の妖精を名乗ってもいいですか？　ついでに皆さんにご飯を奢ってもらってもいいでしょうか？</t>
  </si>
  <si>
    <t>私は名状しがたい黒きモノたちのお姫様である。人が恋しくて、街にやってきた。ご飯を奢ってもらえそうだから、とりあえず妖精のふりをした。</t>
  </si>
  <si>
    <t>山女と呼ばれたドレス職人</t>
  </si>
  <si>
    <t>ド田舎の男爵令嬢である主人公——アンネ・ブランテートは、社交界に着ていくドレスを誂えることもできない貧乏貴族。彼女はあることをきっかけに「ないなら自分で作ればいいじゃない！」と一念発起するのだが……。</t>
  </si>
  <si>
    <t>万年LV1のダンジョン配信者〜LV4の次で必ず1に戻されて十年、幼馴染はトップ配信者になった。相棒は口の悪い妖刀と、誘惑より先に飯を作る悪魔。消された十年を、利子つけて取り返す〜</t>
  </si>
  <si>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</si>
  <si>
    <t>平凡剣士にこの異世界は厳し過ぎる</t>
  </si>
  <si>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</si>
  <si>
    <t>亜人達と共に生きる転生錬金術師 〜武力偏重の亜人蔑視世界でやりたいこと〜</t>
  </si>
  <si>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</si>
  <si>
    <t>白き聖女は隠したい　～異端バレしたら処刑だけど隠し通せる気がしない～</t>
  </si>
  <si>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</si>
  <si>
    <t>弱小国の王女に転生してしまいましたわ！</t>
  </si>
  <si>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</si>
  <si>
    <t>俺だけ自分のステータスが見える 〜回復だけバグった最弱候補生、時速70kmのプロ競輪で年収二億を目指す〜</t>
  </si>
  <si>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</si>
  <si>
    <t>剣士としては落ちこぼれ、魔術師としても劣等生。でも魔法剣士としては最強でした</t>
  </si>
  <si>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</si>
  <si>
    <t>【書籍化企画進行中！！】追放先が歴代勇者の墓場だったので、全員生き返らせたら規格外の英雄国家が誕生した</t>
  </si>
  <si>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</si>
  <si>
    <t>横浜混沌租界　～エイリアン＆デビル～</t>
  </si>
  <si>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</si>
  <si>
    <t>無限迷宮で鍛えていたらいつの間にか英雄になっていた件</t>
  </si>
  <si>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</si>
  <si>
    <t>「動物に好かれるだけ」のハズレスキルで追放された俺、森で拾った最強もふもふに懐かれてスローライフ〜え、こいつめちゃくちゃ強い聖獣だったの？〜</t>
  </si>
  <si>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</si>
  <si>
    <t>就活失敗からのダンジョンガチャ生活　～レベルリセットで爆速成長ループ～</t>
  </si>
  <si>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</si>
  <si>
    <t>ブラック企業のＯＬ、Ａ級探索者のパワハラ上司をぶっ飛ばしたら最強と恐れられた探索者だとバレてホワイト企業にスカウトされた。配属先はダンジョン探索課。</t>
  </si>
  <si>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</si>
  <si>
    <t>Eランクのおっさん冒険者、実は世界を救った影の英雄。〜かつての弟子（巨乳剣聖・巨乳大賢者）たちがおっさんを必死に探し求めた結果、いつの間にか王国最強の軍勢が誕生していた〜</t>
  </si>
  <si>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</si>
  <si>
    <t>ダンジョン探索者の俺とVチューバーの双子義妹。～ってなんで俺も配信者になるんだよ!?～</t>
  </si>
  <si>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</si>
  <si>
    <t>『野球人生、2周目。〜51歳の元球児、小学生からやり直し日本人初の大リーグ二刀流になる〜』</t>
  </si>
  <si>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</si>
  <si>
    <t>MP１０　～微量魔力の大魔導士～</t>
  </si>
  <si>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</si>
  <si>
    <t>アイテムストレージをモンスター化したら、世界中の全てを喰らい尽くす神話級の相棒（バケモノ）が生まれました！</t>
  </si>
  <si>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</si>
  <si>
    <t>女騎士団の雑用係　～貞操逆転世界の女騎士団に入団した唯一の男騎士、超万能の家事スキルでなぜか救世主扱いされた～</t>
  </si>
  <si>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</si>
  <si>
    <t>ダークファンタジー世界を平定してから数年後、なんか異世界ファンタジーが始まった</t>
  </si>
  <si>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</si>
  <si>
    <t>滅亡寸前の辺境領主ですが、最近送られてくる奴らが有能すぎる</t>
  </si>
  <si>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</si>
  <si>
    <t>『ダンジョン最深部にコンビニを開いたら、ラスボスまで常連になった 〜店内では暴力禁止です。魔石でもお支払いいただけます〜』</t>
  </si>
  <si>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</si>
  <si>
    <t>35歳社畜、女子高生に吸血鬼だと宣告される〜みなし残業で覚醒能力を使い潰していた俺、現代異能バトルの世界では最強候補らしいです〜</t>
  </si>
  <si>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</si>
  <si>
    <t>転生者、娯楽に餓えて強さを求め、天衣無縫の修羅と化す</t>
  </si>
  <si>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</si>
  <si>
    <t>Q.魔法少女だけが戦う世界で、男が生き残る術とは？　A.映画ボスを集めて最強の組織をつくります　〜結果、魔法少女と敵組織から危険視される模様〜</t>
  </si>
  <si>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</si>
  <si>
    <t>S級探索者が土下座してきた。俺たちの「折れる前に赤く光る剣」がないと死ぬらしい ～リストラ商社マン、戦わずダンジョンバブルの胴元になる～</t>
  </si>
  <si>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</si>
  <si>
    <t>最強聖女の快適な獄中生活</t>
  </si>
  <si>
    <t>偽聖女として地下牢に放り込まれた主人公クルス。
しかし、クルスは歴代の聖女など比べ物にならないほどの力を持っていて――
偽聖女（本物）がおくる、チート地下牢生活！</t>
  </si>
  <si>
    <t>そのスキル、使い方間違ってますよ。~クビになった万年E級鑑定士、ハズレスキル再査定配信で人類最強を量産中~</t>
  </si>
  <si>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</si>
  <si>
    <t>S級探索者を死なせた男と呼ばれた俺だけが、彼女の生存ログを見つけてしまった</t>
  </si>
  <si>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</si>
  <si>
    <t>TS転生外宇宙系魔法少女ダークネス・ルーシィ</t>
  </si>
  <si>
    <t>SAN値直葬系マスコットとそれを心から愛する転生者（正気）の日常。
ハーメルンにも投稿してます。</t>
  </si>
  <si>
    <t>『解毒（リセット）』しか使えない無能と追放された僕、どんな傷でも癒す温泉を沸かしたら世界中の訳ありVIPが押し寄せる</t>
  </si>
  <si>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</si>
  <si>
    <t>過労死した元社畜、2億ギル貯めてFIREするはずが勇者たちの感情が重すぎる</t>
  </si>
  <si>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</si>
  <si>
    <t>前世最強の異能教師、異世界の天才たちを育てる ～一万八百の異能知識を教えたら、弟子たちが世界の常識を壊し始めた～</t>
  </si>
  <si>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</si>
  <si>
    <t>弱小領主ですが俺以外の家族が全員異世界からの転生者らしくて成り上がらされています。</t>
  </si>
  <si>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</si>
  <si>
    <t>勇者パーティーと魔王軍の面接に行ったら両方内定もらったんだが。</t>
  </si>
  <si>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</si>
  <si>
    <t>【WEB版】前世がアレだったB級冒険者のおっさんは、勇者に追放された雑用係と暮らすことになりました</t>
  </si>
  <si>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</si>
  <si>
    <t>断罪後の悪役魔法使いに転生して～快適求めて弱小ダンジョンをのびのび経営してたら、強くなりすぎた部下たちが暴走して勇者と祖国を勝手にざまぁし始めた件～</t>
  </si>
  <si>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</si>
  <si>
    <t>俺の異世界交易FIRE計画を役所が邪魔する</t>
  </si>
  <si>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</si>
  <si>
    <t>奈落の底で、吸血鬼は人間をやめない ～TS吸血鬼の最深層救命生活。～古代施設を目覚めさせ、奈落で人を救い続ける～</t>
  </si>
  <si>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</si>
  <si>
    <t>「料理しかできない」と最深層に捨てられた給食係、腹ペコ少女を餌付けしたら世界がざわつき始めた〜え、この子って都市を灰にする滅国級の竜姫なんですか？〜</t>
  </si>
  <si>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</si>
  <si>
    <t>往復するは滅んだ世界　〜　終末世界のサバイバル集団に、転移能力者がもたらす物資は希望となり得るのか？</t>
  </si>
  <si>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</si>
  <si>
    <t>昼行燈は夜を斬る～実は最強な冒険者ギルドの受付おじさん、人知れず王都を守る～</t>
  </si>
  <si>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</si>
  <si>
    <t>Fランクおっさん荷物持ち、無自覚ワンパン配信で世界最強に成り上がる</t>
  </si>
  <si>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</si>
  <si>
    <t>勇者様、装備のローンが残っていますが？ 〜踏み倒そうとしたので、国中の店で取引停止にしました。素っ裸で魔王と戦ってください〜</t>
  </si>
  <si>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</si>
  <si>
    <t>他人が恐れるダンジョンを俺だけは効率周回している</t>
  </si>
  <si>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</si>
  <si>
    <t>ハズレスキルの【デイリーガチャ】が覚醒したら、SSSレアが確定排出されるようになりました～最弱探索者、無限ガチャの力で現代ダンジョンを無双する～</t>
  </si>
  <si>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</si>
  <si>
    <t>【コミック1巻発売中！】追放令嬢、クラフトしながらキャンピングカーで異世界を旅します</t>
  </si>
  <si>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</si>
  <si>
    <t>必勝ダンジョン運営方法　相手に合わせる理由がない</t>
  </si>
  <si>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</si>
  <si>
    <t>無能な【育成士】だと追放されたので、路頭に迷う少女たちを最強の英雄に育て上げた〜元所属ギルドは重要戦力を全員引き抜かれて崩壊寸前です〜</t>
  </si>
  <si>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</si>
  <si>
    <t>山奥でエルフ助手と鍛冶をしていただけなのに、試作品の剣が女魔王の鎧を斬ってしまいました 〜戦えない町工場職人、“折れない槍”と“直せる鎧”で滅亡寸前の魔王軍を立て直す〜</t>
  </si>
  <si>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</si>
  <si>
    <t>パーティー守って寝たきりになった俺を、仲間たちが離してくれない</t>
  </si>
  <si>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</si>
  <si>
    <t>スキル【たたかう】</t>
  </si>
  <si>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</si>
  <si>
    <t>性能しか見ていない鍛冶師、左遷先でなぜかバズる 〜地味すぎる魔装具で赤字子会社を立て直す〜</t>
  </si>
  <si>
    <t>異世界からやってきた聖女と知り合って、コメディーが始まりました</t>
  </si>
  <si>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</si>
  <si>
    <t>魔力ゼロで婚約破棄された公爵令嬢、前世の理科の知識でこの世界の魔法を全部あばいてしまう〜追放された辺境で便利な道具を作ってたら、本物の聖女よりすごいと崇められました〜</t>
  </si>
  <si>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</si>
  <si>
    <t>追放された査定係の俺が格付けを外した瞬間、Sランクパーティは『無価値』に暴落した</t>
  </si>
  <si>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</si>
  <si>
    <t>魔法生物飼育員は今日もかわいいに忙しい ～大学教授に紹介された最初の担当は、手のひらサイズの小竜でした～</t>
  </si>
  <si>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</si>
  <si>
    <t>魔王討伐と引きかえに異形の怪物に成り果てた元勇者ですが、パーティメンバーの聖女ちゃんが通い妻をやめてくれません</t>
  </si>
  <si>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</si>
  <si>
    <t>自宅に届いた『惑星開発キット』で、社畜SEは異世界工場の管理者になる　～運用保守はもう終わり。現代の物資と無限の資源で、銀河規模の自動化帝国を築き上げます～</t>
  </si>
  <si>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</si>
  <si>
    <t>異世界で魔王を討伐して帰還したら、実家がダンジョンの入り口になっていました〜元勇者のゆるゆるダンジョン配信、配信知識ゼロなのに同接100万超えちゃった件〜</t>
  </si>
  <si>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</si>
  <si>
    <t>『【悲報】事故物件の最悪怪異に味噌汁をあげたら、激重ガチ恋嫁になりました〜3秒で世界を滅ぼす彼女たちが、俺の前では甘々メイドな件〜』</t>
  </si>
  <si>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</si>
  <si>
    <t>魔導図書館の最強司書 〜魔導書を1000年管理したら、【司書スキル】で最強に〜</t>
  </si>
  <si>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</si>
  <si>
    <t>エーテルギフト～異能のデメリットに振り回されるオレ達～</t>
  </si>
  <si>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</si>
  <si>
    <t>俺の身代わりで100回死んだポンコツ聖女。101回目は俺が【100回分の死の記憶】で運命を蹂躙する</t>
  </si>
  <si>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</si>
  <si>
    <t>【書籍化予定】うちの寺の墓地にダンジョンができたので大変です</t>
  </si>
  <si>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</si>
  <si>
    <t>異世界ショットバー『ミラージュ』へようこそ　～世界を救った元勇者、セカンドライフでは身分を隠してバーのマスターやってます～</t>
  </si>
  <si>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</si>
  <si>
    <t>エロゲのヒロインを淫魔スキルで支配する（旧タイトル；１８禁ゲームの淫魔に転生したので、健全にスキルを使って自分を鍛えて、きままに世界を旅する冒険者をめざします）</t>
  </si>
  <si>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</si>
  <si>
    <t>TS令嬢、悪役ムーブで人生を謳歌したい～何も知らずに最凶最悪な悪役令嬢に転生するとこうなる～</t>
  </si>
  <si>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</si>
  <si>
    <t>世界を管理する最弱女神は、滅びた世界をデバッグする</t>
  </si>
  <si>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</si>
  <si>
    <t>スライムに転生した無職だけど、実力者たちに一目置かれてます！！</t>
  </si>
  <si>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</si>
  <si>
    <t>隠居したいC級おっさんダイバー、世界最強になった弟子たちのせいで実力がバレる【番外編】</t>
  </si>
  <si>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</si>
  <si>
    <t>異世界もふもふ猫散歩　〜スローライフしたいニャンコはチートスキルで世界をひっかき回す〜</t>
  </si>
  <si>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</si>
  <si>
    <t>最終ダンジョン手前の最低評価（Ｅランク）の宿の主人に転生したおっさん、ゲーム知識で冒険者を全力でもてなしたら、いつの間にか世界最高峰の聖域と呼ばれていた件</t>
  </si>
  <si>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</si>
  <si>
    <t>【書籍化】勇者になったクラスの奴等とは別れて勝手に異世界を楽しみます。</t>
  </si>
  <si>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</si>
  <si>
    <t>自分が主人公じゃないことにようやく気付いた男は、流れ着いた片田舎で魔術を教える</t>
  </si>
  <si>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</si>
  <si>
    <t>城塞幼女シルヴィア　～実は万能な生活魔術を使って見捨てられた都市を発展させます～（web版）</t>
  </si>
  <si>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</si>
  <si>
    <t>モブの俺が悪役令嬢を拾ったんだが〜ゲーム本編無視で、好き勝手楽しみます〜（旧サブタイトル：ゲーム本編とか知らないし、好き勝手やります）</t>
  </si>
  <si>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</si>
  <si>
    <t>弟子の不祥事の責任を取って辞職した錬成学最高権威の教授。田舎で『普通の子』を育てていたら、大成して償いに来た「元教え子たち」が毎日「嫉妬」と「後悔」で勝手に曇っていく</t>
  </si>
  <si>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</si>
  <si>
    <t>異界渡りスキルが生えたので多世界で荒稼ぎしていたら、地球にダンジョンが現れた頃には俺の手札だけ次元が違った件</t>
  </si>
  <si>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</si>
  <si>
    <t>テックフォードの遺産</t>
  </si>
  <si>
    <t>びんぼーで貴族籍を失ったアリシアが、それでも元気に頑張っていたら、トンデモないおじいさまの遺産を相続しちゃう話。</t>
  </si>
  <si>
    <t>引退した不遇職『調香師』、実は戦況を支配する最強職でした〜元S級おっさん、姪にねだられ復帰したので香り一つで無双する〜</t>
  </si>
  <si>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</si>
  <si>
    <t>ロボットバトルで全てが決まる世界で、俺だけが自称小悪党モブ</t>
  </si>
  <si>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</si>
  <si>
    <t>凡人でもできる現代ファンタジー攻略法</t>
  </si>
  <si>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</si>
  <si>
    <t>エルフ族でもっとも美しく、もっとも気高く、そして最強の存在に生まれ変わったけれど、残念ながら中身はおっさん</t>
  </si>
  <si>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</si>
  <si>
    <t>【余命二年】探索者を夢見たおっさんは、田舎で生き直す ～最期に本気を出したら、救った人たちが放ってくれません～</t>
  </si>
  <si>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</si>
  <si>
    <t>おっさん探索者、1000回目のガチャで死んだ彼女を引き当てました〜ガチャ配信で始まる家族生活〜</t>
  </si>
  <si>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</si>
  <si>
    <t>鑑定スキルと努力でこっそり奴隷を解放してたら、なんか最強の革命家になってた件 〜前世はゲームクリエイター。今世は本物の「奴隷解放ルート」攻略中〜</t>
  </si>
  <si>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</si>
  <si>
    <t>魔術学校の首席賢者、騎士団の最強剣聖、教団の至高聖女が俺のことを師匠として慕ってくるんだが、俺自身はただのDランク冒険者です</t>
  </si>
  <si>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</si>
  <si>
    <t>最強な異世界帰還者は平穏を欲す</t>
  </si>
  <si>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</si>
  <si>
    <t>序盤ボスの悪役貴族に転生したので裏ボスに媚び売ってたら婚約することになった件</t>
  </si>
  <si>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</si>
  <si>
    <t>無能教師と呼ばれた俺、落ちこぼれの才能だけは見抜けます ～廃棄クラスを育てていたら学院最強になっていた～</t>
  </si>
  <si>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</si>
  <si>
    <t>朝起きたら人間にコマンドが見えたので、初期特典を全部選択して現実を攻略します</t>
  </si>
  <si>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</si>
  <si>
    <t>フェリクス ～この男、取り扱い注意にて～</t>
  </si>
  <si>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</si>
  <si>
    <t>TSレベルアッパー、挫折娘たちを集め、ダンジョン都市で最強シーカークランを作る！</t>
  </si>
  <si>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</si>
  <si>
    <t>彼女に捨てられた社畜、覚醒スキル《∞ウェポン》でダンジョン無双</t>
  </si>
  <si>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</si>
  <si>
    <t>ダンジョン保険の査定人、今日も“英雄様”の嘘を暴く　～パーティ全滅事故を現場検証したら、生存者の証言が全部おかしい～</t>
  </si>
  <si>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</si>
  <si>
    <t>救国の最強Ｓ級探索者、普通を目指して学生生活を送っていたらアイドル配信者の配信にうっかり映り込み大バスしてしまう</t>
  </si>
  <si>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</si>
  <si>
    <t>喰った魔物に変身できるようになったので異世界最強グルメライフを満喫します。</t>
  </si>
  <si>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</si>
  <si>
    <t>収納魔法を裏返したら世界最強でした！～極小収納しか使えない無能と辺境に追放されたので、もう好きに生きます～</t>
  </si>
  <si>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</si>
  <si>
    <t>虫籠より青空を希う〜病死した少女は転生して蟲ダンジョンの主となる。なお、虫好きで育ててるだけなのに『災厄』と呼ばれているらしい〜</t>
  </si>
  <si>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</si>
  <si>
    <t>【100万PV達成！】魔法少女と物理特化な、俺 〜魔獣の素材で作った武器と無敵の肉体で魔法少女と戦場を駆ける〜【第二章完結】</t>
  </si>
  <si>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</si>
  <si>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</si>
  <si>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</si>
  <si>
    <t>雑用係を追い出すパーティーの斥候だけど、もう遅い的な話じゃないかと気づいたから、まだ遅くないよね？</t>
  </si>
  <si>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</si>
  <si>
    <t>悪徳令嬢クラリス・グローリアの永久没落【書籍化】</t>
  </si>
  <si>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</si>
  <si>
    <t>俺の弟子が俺の彼女を寝取った挙句、俺の尊厳破壊してくるんですが……？復讐するけど大丈夫？〜黒蝕を纏いし英雄は復讐の果てに何を見る〜</t>
  </si>
  <si>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</si>
  <si>
    <t>裏社会のジョーカー、現代ダンジョンで成り上がる ～世界最大の賭場に人生を賭ける～</t>
  </si>
  <si>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</si>
  <si>
    <t>アラサーからのダンジョン探索～英雄は目指さない。マイペースに遊びながら稼ぎます～【書籍一巻五月二日発売！】</t>
  </si>
  <si>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</si>
  <si>
    <t>レベル－1の伝統魔法使い ～ダンジョン発生以前から魔法を探求していた俺は、次元が違いすぎて素人扱いされている～</t>
  </si>
  <si>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</si>
  <si>
    <t>転生少女が工房を開いたら、有力者たちのたまり場になった</t>
  </si>
  <si>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</si>
  <si>
    <t>外れ職《案内人》の俺、駅地下ダンジョンで迷子を助けていただけなのに、最短ルートが国家機密になりました</t>
  </si>
  <si>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</si>
  <si>
    <t>【悲報】Ｓ級ダンジョンで全滅しかけたおっさん（42）、バグで『不老不死の銀髪幼女』にＴＳ転生してしまう。なお、元のクズパーティが泣きながら追悼配信してる目の前に、ラスボスの遺品を持って乱入した模様</t>
  </si>
  <si>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</si>
  <si>
    <t>元伝説の探索者、辺境でリゾート経営を目指したら世界中のS級冒険者が集まる聖地になっていた</t>
  </si>
  <si>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</si>
  <si>
    <t>TS魔法少女は推し活です　〜一般オタク、推しを勝手に救ってたら逃げられなくなる〜</t>
  </si>
  <si>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</si>
  <si>
    <t>鬼畜修行ゲーをクリアしたら現実にもダンジョンが生えました。</t>
  </si>
  <si>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</si>
  <si>
    <t>カードもできるギャルゲー世界に転生した（けど気付いてない）男のドタバタカードゲームライフ！【カドコミ漫画原作コンテスト出場作品】</t>
  </si>
  <si>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</si>
  <si>
    <t>死神と呼ばれた探索者は元教師</t>
  </si>
  <si>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</si>
  <si>
    <t>エセ占い師のゲーム屋暮らし</t>
  </si>
  <si>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</si>
  <si>
    <t>切れば良いのだ、何事も！</t>
  </si>
  <si>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</si>
  <si>
    <t>ダウナー・ジャジー・シーカーズ～テンション低めの気怠げお兄さんによる飯テロ有の悪くないダンジョン配信～</t>
  </si>
  <si>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</si>
  <si>
    <t>剣聖の嫁と、賢者の義母、聖女の義妹に愛される俺、農夫</t>
  </si>
  <si>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</si>
  <si>
    <t>鬱百合アニメの推しキャラ皆に幸せになってほしいTS転生百合厨魔法少女</t>
  </si>
  <si>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</si>
  <si>
    <t>『人間を襲っては駄目だぞ』『ん。我慢する』～定年退職した退魔師なのに幼い妖怪を育てます～</t>
  </si>
  <si>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</si>
  <si>
    <t>解雇された掃除のおじさん、槍の達人に成る ～ダンジョン探索始めたら、なぜか魔法省の元部下まで全員辞めて俺についてきて怖い～</t>
  </si>
  <si>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</si>
  <si>
    <t>ハズレスキル《箱庭》の俺、戦えないので“弱いモンスター”を拾ってたら最強の農業拠点になっていた</t>
  </si>
  <si>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</si>
  <si>
    <t>破滅フラグ満載の悪役貴族に転生したので、死にたくなくて奈落の森で錬金術を極めました。〜才能ゼロの俺、来るべき勇者戦に備えてアイテムを作り続けてたら、いつの間にか世界最強のおっさんになっていた件〜</t>
  </si>
  <si>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</si>
  <si>
    <t>追放された俺の「経験値０付与」呪いスキル、敵の攻撃をすべて「無駄骨」にする絶対無敵の虚無化権能だった件〜元パーティがレベル上げしようと殴りかかってくるが、１ミリも痛くないし俺は自動で神域に達した〜</t>
  </si>
  <si>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</si>
  <si>
    <t>おっさん転生〜拾った猫の為に今更ながら冒険者になります〜</t>
  </si>
  <si>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</si>
  <si>
    <t>ダメ女神からゴブリンを駆除しろと命令されて異世界に転移させられたアラサーなオレ、がんばって生きていく！　４</t>
  </si>
  <si>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</si>
  <si>
    <t>追放された元Ｓ級探索者、片田舎で魔術塾を開く〜ただの基礎を教えてた落ちこぼれ少女が、世界ランク１位の配信者になっていた。俺のルーティン、現代魔術の常識を遥かに超越してるらしい〜</t>
  </si>
  <si>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</si>
  <si>
    <t>【朗報】「弱体化（デバフ）しか使えないゴミ」とＳランクパーティを追放された俺、実は『敵にかけるデバフの数だけ全ステータスが１００倍になる』壊れスキル持ちでした〜今更戻れと言われても、もう手遅れです〜</t>
  </si>
  <si>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</si>
  <si>
    <t>自由気ままなおじさんは、うっかり領地を手に入れた</t>
  </si>
  <si>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</si>
  <si>
    <t>大ハズレだと追放された転生重騎士はゲーム知識で無双する</t>
  </si>
  <si>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</si>
  <si>
    <t>山奥で薪割りしかしてこなかった俺、王都の騎士学校で『その斬撃は何だ』と騒がれる　～じいちゃんの薪割り三千日、実は最強の剣術でした～</t>
  </si>
  <si>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</si>
  <si>
    <t>🍞死にたがりのパン屋のおっさん、刺客に追われる追放令嬢を　うっかり助ける</t>
  </si>
  <si>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</si>
  <si>
    <t>【馬の記憶が視える】落ちこぼれ競馬学校生、誰も勝たせられなかった馬でダービーを獲る</t>
  </si>
  <si>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</si>
  <si>
    <t>貴族らしからぬスキルで追放されたので好きにやる！　〜仕入れスキルで後に大勝利！〜</t>
  </si>
  <si>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</si>
  <si>
    <t>genre_key</t>
  </si>
  <si>
    <t>episodes_prev</t>
  </si>
  <si>
    <t>span_days</t>
  </si>
  <si>
    <t>action</t>
  </si>
  <si>
    <t>16817330649436334413</t>
  </si>
  <si>
    <t>16817330658027210412</t>
  </si>
  <si>
    <t>16817330661274615404</t>
  </si>
  <si>
    <t>16818093076856145897</t>
  </si>
  <si>
    <t>16818093094570180426</t>
  </si>
  <si>
    <t>16818622170990767935</t>
  </si>
  <si>
    <t>16818622171979183070</t>
  </si>
  <si>
    <t>16818622173230370861</t>
  </si>
  <si>
    <t>16818622174231824069</t>
  </si>
  <si>
    <t>2912051596347777094</t>
  </si>
  <si>
    <t>2912051597492612020</t>
  </si>
  <si>
    <t>2912051597609166733</t>
  </si>
  <si>
    <t>2912051597781188749</t>
  </si>
  <si>
    <t>2912051598302021721</t>
  </si>
  <si>
    <t>2912051599970235830</t>
  </si>
  <si>
    <t>2912051600274575391</t>
  </si>
  <si>
    <t>2912051600328843655</t>
  </si>
  <si>
    <t>2912051600397486794</t>
  </si>
  <si>
    <t>2912051600429339508</t>
  </si>
  <si>
    <t>2912051600635406189</t>
  </si>
  <si>
    <t>2912051601692698929</t>
  </si>
  <si>
    <t>2912051601796271626</t>
  </si>
  <si>
    <t>2912051602077226807</t>
  </si>
  <si>
    <t>2912051602299065676</t>
  </si>
  <si>
    <t>2912051602358852229</t>
  </si>
  <si>
    <t>2912051602666180393</t>
  </si>
  <si>
    <t>2912051602727191668</t>
  </si>
  <si>
    <t>2912051602852202914</t>
  </si>
  <si>
    <t>2912051603397858459</t>
  </si>
  <si>
    <t>2912051603404852422</t>
  </si>
  <si>
    <t>2912051603538764208</t>
  </si>
  <si>
    <t>2912051603620131913</t>
  </si>
  <si>
    <t>2912051604101864087</t>
  </si>
  <si>
    <t>2912051604104110130</t>
  </si>
  <si>
    <t>2912051604104950353</t>
  </si>
  <si>
    <t>2912051604153063294</t>
  </si>
  <si>
    <t>2912051604233963941</t>
  </si>
  <si>
    <t>2912051604238555073</t>
  </si>
  <si>
    <t>2912051604394129142</t>
  </si>
  <si>
    <t>2912051604434822405</t>
  </si>
  <si>
    <t>2912051604627841194</t>
  </si>
  <si>
    <t>2912051604673684115</t>
  </si>
  <si>
    <t>2912051604816728311</t>
  </si>
  <si>
    <t>2912051604840342790</t>
  </si>
  <si>
    <t>2912051604996628001</t>
  </si>
  <si>
    <t>2912051605091112292</t>
  </si>
  <si>
    <t>2912051605171684401</t>
  </si>
  <si>
    <t>2912051605189339409</t>
  </si>
  <si>
    <t>2912051605211172550</t>
  </si>
  <si>
    <t>2912051605244600616</t>
  </si>
  <si>
    <t>2912051605271543183</t>
  </si>
  <si>
    <t>2912051605462941593</t>
  </si>
  <si>
    <t>2912051605503235345</t>
  </si>
  <si>
    <t>2912051605507569959</t>
  </si>
  <si>
    <t>2912051605508521275</t>
  </si>
  <si>
    <t>2912051605570028912</t>
  </si>
  <si>
    <t>2912051605598246153</t>
  </si>
  <si>
    <t>2912051605640458336</t>
  </si>
  <si>
    <t>2912051605643694466</t>
  </si>
  <si>
    <t>2912051605689984510</t>
  </si>
  <si>
    <t>2912051605717497440</t>
  </si>
  <si>
    <t>2912051605778147354</t>
  </si>
  <si>
    <t>2912051605849299462</t>
  </si>
  <si>
    <t>2912051605863902588</t>
  </si>
  <si>
    <t>2912051605963241331</t>
  </si>
  <si>
    <t>2912051605992818100</t>
  </si>
  <si>
    <t>2912051605998132378</t>
  </si>
  <si>
    <t>2912051606065515887</t>
  </si>
  <si>
    <t>2912051606097981557</t>
  </si>
  <si>
    <t>2912051606113383940</t>
  </si>
  <si>
    <t>2912051606142407028</t>
  </si>
  <si>
    <t>2912051606146904100</t>
  </si>
  <si>
    <t>2912051606210888143</t>
  </si>
  <si>
    <t>2912051606229942799</t>
  </si>
  <si>
    <t>2912051606277510593</t>
  </si>
  <si>
    <t>2912051606369911202</t>
  </si>
  <si>
    <t>2912051606424966053</t>
  </si>
  <si>
    <t>2912051606449893780</t>
  </si>
  <si>
    <t>2912051606470936014</t>
  </si>
  <si>
    <t>2912051606487403279</t>
  </si>
  <si>
    <t>2912051606524995492</t>
  </si>
  <si>
    <t>2912051606551769038</t>
  </si>
  <si>
    <t>2912051606676268246</t>
  </si>
  <si>
    <t>2912051606726854072</t>
  </si>
  <si>
    <t>2912051606752937307</t>
  </si>
  <si>
    <t>2912051606788687244</t>
  </si>
  <si>
    <t>2912051606811828023</t>
  </si>
  <si>
    <t>2912051606816175074</t>
  </si>
  <si>
    <t>2912051606854917513</t>
  </si>
  <si>
    <t>2912051607053590864</t>
  </si>
  <si>
    <t>2912051607151208161</t>
  </si>
  <si>
    <t>2912051607178213419</t>
  </si>
  <si>
    <t>2912051607190318771</t>
  </si>
  <si>
    <t>2912051607190955051</t>
  </si>
  <si>
    <t>2912051607243871368</t>
  </si>
  <si>
    <t>2912051607259346472</t>
  </si>
  <si>
    <t>2912051607326206740</t>
  </si>
  <si>
    <t>7667601420162999739</t>
  </si>
  <si>
    <t>822139845421536345</t>
  </si>
  <si>
    <t>822139845517663944</t>
  </si>
  <si>
    <t>fantasy</t>
  </si>
  <si>
    <t>16816927863019427894</t>
  </si>
  <si>
    <t>16817330663385552023</t>
  </si>
  <si>
    <t>16817330667996401659</t>
  </si>
  <si>
    <t>16818093074173866568</t>
  </si>
  <si>
    <t>16818093075780689099</t>
  </si>
  <si>
    <t>16818093082048199240</t>
  </si>
  <si>
    <t>16818093085917789154</t>
  </si>
  <si>
    <t>16818093092974667738</t>
  </si>
  <si>
    <t>16818792436546970549</t>
  </si>
  <si>
    <t>2912051595259985810</t>
  </si>
  <si>
    <t>2912051596456970950</t>
  </si>
  <si>
    <t>2912051597894806171</t>
  </si>
  <si>
    <t>2912051598114191048</t>
  </si>
  <si>
    <t>2912051598629273143</t>
  </si>
  <si>
    <t>2912051598760105457</t>
  </si>
  <si>
    <t>2912051599406264044</t>
  </si>
  <si>
    <t>2912051599423692353</t>
  </si>
  <si>
    <t>2912051599523320748</t>
  </si>
  <si>
    <t>2912051600755921665</t>
  </si>
  <si>
    <t>2912051601164089962</t>
  </si>
  <si>
    <t>2912051601772429444</t>
  </si>
  <si>
    <t>2912051602109856395</t>
  </si>
  <si>
    <t>2912051602444081482</t>
  </si>
  <si>
    <t>2912051602624199029</t>
  </si>
  <si>
    <t>2912051602768858683</t>
  </si>
  <si>
    <t>2912051603005740067</t>
  </si>
  <si>
    <t>2912051603072884906</t>
  </si>
  <si>
    <t>2912051603367336310</t>
  </si>
  <si>
    <t>2912051603474311296</t>
  </si>
  <si>
    <t>2912051603504957531</t>
  </si>
  <si>
    <t>2912051603540471066</t>
  </si>
  <si>
    <t>2912051603716028250</t>
  </si>
  <si>
    <t>2912051603718210639</t>
  </si>
  <si>
    <t>2912051604016586190</t>
  </si>
  <si>
    <t>2912051604129873512</t>
  </si>
  <si>
    <t>2912051604187380632</t>
  </si>
  <si>
    <t>2912051604254362984</t>
  </si>
  <si>
    <t>2912051604366766723</t>
  </si>
  <si>
    <t>2912051604449480737</t>
  </si>
  <si>
    <t>2912051604560814063</t>
  </si>
  <si>
    <t>2912051604578808851</t>
  </si>
  <si>
    <t>2912051604589875887</t>
  </si>
  <si>
    <t>2912051604595298413</t>
  </si>
  <si>
    <t>2912051604891101737</t>
  </si>
  <si>
    <t>2912051605016927783</t>
  </si>
  <si>
    <t>2912051605125301536</t>
  </si>
  <si>
    <t>2912051605127410678</t>
  </si>
  <si>
    <t>2912051605166648134</t>
  </si>
  <si>
    <t>2912051605261443346</t>
  </si>
  <si>
    <t>2912051605265286643</t>
  </si>
  <si>
    <t>2912051605373212610</t>
  </si>
  <si>
    <t>2912051605408281657</t>
  </si>
  <si>
    <t>2912051605435750996</t>
  </si>
  <si>
    <t>2912051605449823955</t>
  </si>
  <si>
    <t>2912051605481146115</t>
  </si>
  <si>
    <t>2912051605497205076</t>
  </si>
  <si>
    <t>2912051605516680853</t>
  </si>
  <si>
    <t>2912051605536052814</t>
  </si>
  <si>
    <t>2912051605573183953</t>
  </si>
  <si>
    <t>2912051605596589356</t>
  </si>
  <si>
    <t>2912051605625958378</t>
  </si>
  <si>
    <t>2912051605637151413</t>
  </si>
  <si>
    <t>2912051605714996113</t>
  </si>
  <si>
    <t>2912051605735599197</t>
  </si>
  <si>
    <t>2912051605746847260</t>
  </si>
  <si>
    <t>2912051605756085920</t>
  </si>
  <si>
    <t>2912051605766904351</t>
  </si>
  <si>
    <t>2912051605781475130</t>
  </si>
  <si>
    <t>2912051605905477135</t>
  </si>
  <si>
    <t>2912051605955633703</t>
  </si>
  <si>
    <t>2912051606005794868</t>
  </si>
  <si>
    <t>2912051606009715237</t>
  </si>
  <si>
    <t>2912051606025862115</t>
  </si>
  <si>
    <t>2912051606104373978</t>
  </si>
  <si>
    <t>2912051606196630324</t>
  </si>
  <si>
    <t>2912051606302075193</t>
  </si>
  <si>
    <t>2912051606315298034</t>
  </si>
  <si>
    <t>2912051606315874400</t>
  </si>
  <si>
    <t>2912051606374053458</t>
  </si>
  <si>
    <t>2912051606423922712</t>
  </si>
  <si>
    <t>2912051606432977067</t>
  </si>
  <si>
    <t>2912051606447559653</t>
  </si>
  <si>
    <t>2912051606537862175</t>
  </si>
  <si>
    <t>2912051606569731498</t>
  </si>
  <si>
    <t>2912051606572229208</t>
  </si>
  <si>
    <t>2912051606588785996</t>
  </si>
  <si>
    <t>2912051606603867572</t>
  </si>
  <si>
    <t>2912051606777645553</t>
  </si>
  <si>
    <t>2912051606883618436</t>
  </si>
  <si>
    <t>2912051606941034452</t>
  </si>
  <si>
    <t>2912051606967540258</t>
  </si>
  <si>
    <t>2912051606995899760</t>
  </si>
  <si>
    <t>2912051607101847958</t>
  </si>
  <si>
    <t>2912051607199056455</t>
  </si>
  <si>
    <t>2912051607270227751</t>
  </si>
  <si>
    <t>2912051607285371060</t>
  </si>
  <si>
    <t>822139836880422144</t>
  </si>
  <si>
    <t>822139844634370770</t>
  </si>
  <si>
    <t>822139846195913224</t>
  </si>
  <si>
    <t>822139846598449886</t>
  </si>
  <si>
    <t>カクヨム週間ランキングの作品ベース分類</t>
  </si>
  <si>
    <t>2026年9月4日取得｜現代ファンタジー100作品・異世界ファンタジー100作品</t>
  </si>
  <si>
    <t>主ベースは中心を1つ、副ベースは紹介文で確認できるものを最大2つ。追加・拡張候補は独立分類としての確定ではありません。</t>
  </si>
  <si>
    <t>右側に判定根拠・読者満足・補助要素・出典を記載。本文は未読で、保存された作品紹介からの判定です。集計と27分類の定義は「ベース分類集計」へ。</t>
  </si>
  <si>
    <t>登録ジャンル</t>
  </si>
  <si>
    <t>週間順位</t>
  </si>
  <si>
    <t>作品名</t>
  </si>
  <si>
    <t>主ベース</t>
  </si>
  <si>
    <t>副ベース1</t>
  </si>
  <si>
    <t>副ベース2</t>
  </si>
  <si>
    <t>既存27分類との関係</t>
  </si>
  <si>
    <t>追加・拡張候補</t>
  </si>
  <si>
    <t>判定根拠</t>
  </si>
  <si>
    <t>想定する読者満足</t>
  </si>
  <si>
    <t>補助要素・見せ方</t>
  </si>
  <si>
    <t>判定に使えた情報</t>
  </si>
  <si>
    <t>作品URL</t>
  </si>
  <si>
    <t>キャッチコピー（原文）</t>
  </si>
  <si>
    <t>タグ（原文）</t>
  </si>
  <si>
    <t>取得日時（元データ）</t>
  </si>
  <si>
    <t>出典ファイル</t>
  </si>
  <si>
    <t>作品ID</t>
  </si>
  <si>
    <t>教育・育成</t>
  </si>
  <si>
    <t>配信・視聴者交流</t>
  </si>
  <si>
    <t>成り上がり・出世</t>
  </si>
  <si>
    <t>既存＋追加候補</t>
  </si>
  <si>
    <t>基礎指導で初心者を成長させる講座配信と、コーチの価値の再評価を中心に掲げる。</t>
  </si>
  <si>
    <t>教えた成果と、埋もれていた価値の発見</t>
  </si>
  <si>
    <t>無自覚／追放後の再評価</t>
  </si>
  <si>
    <t>紹介文で判定</t>
  </si>
  <si>
    <t>2026-09-04T07:00:04</t>
  </si>
  <si>
    <t>2026-09-04_action_weekly.csv</t>
  </si>
  <si>
    <t>生存・脱出</t>
  </si>
  <si>
    <t>統治・国づくり</t>
  </si>
  <si>
    <t>既存27内</t>
  </si>
  <si>
    <t>極寒と秩序崩壊を生き抜き、その先の新たな社会形成までを紹介文が明示する。</t>
  </si>
  <si>
    <t>生存の安堵と、秩序が再形成される過程</t>
  </si>
  <si>
    <t>タイムリープ／備蓄／合理主義</t>
  </si>
  <si>
    <t>戦闘・討伐</t>
  </si>
  <si>
    <t>モンスターの蹂躙を配信し、視聴者の反応や配信収益を受けて活動を続ける。</t>
  </si>
  <si>
    <t>圧倒的な討伐と、視聴者と共有する爽快感</t>
  </si>
  <si>
    <t>本性露見／ゲーム課金／ギャップ</t>
  </si>
  <si>
    <t>商売・交易</t>
  </si>
  <si>
    <t>ものづくり・開発</t>
  </si>
  <si>
    <t>救出・救護</t>
  </si>
  <si>
    <t>安価な回復薬の製造とネット販売が、初心者の救命と販路の拡大につながる。</t>
  </si>
  <si>
    <t>役立つ品が届き、仕事の価値が認められる</t>
  </si>
  <si>
    <t>無自覚／追放ざまぁ</t>
  </si>
  <si>
    <t>探索・発見</t>
  </si>
  <si>
    <t>裏山の攻略配信で世に知られ、仲間と未知の深部へ挑むことを明示する。</t>
  </si>
  <si>
    <t>未知の深部の発見と、実力が知られる驚き</t>
  </si>
  <si>
    <t>無自覚／日常と外部評価の差</t>
  </si>
  <si>
    <t>防衛・保護</t>
  </si>
  <si>
    <t>追加候補が中心</t>
  </si>
  <si>
    <t>結界で居住地と避難民の安全を継続的に守ることが中心。救出一件の成否だけでは捉えきれない。</t>
  </si>
  <si>
    <t>守られる場所の安心と、防御能力の価値の逆転</t>
  </si>
  <si>
    <t>追放ざまぁ／功績詐称の暴露</t>
  </si>
  <si>
    <t>日常・共同生活</t>
  </si>
  <si>
    <t>千年の修行で得た強さを使い、現代の悪意を退けて普通の生活を目指す。</t>
  </si>
  <si>
    <t>強さによる理不尽の解消と平穏な生活</t>
  </si>
  <si>
    <t>帰還／隠れ最強／学園／修行は前史</t>
  </si>
  <si>
    <t>救助時の規格外の戦闘と、地上と深層で異なる日常の価値を訴求している。</t>
  </si>
  <si>
    <t>圧倒的な実力と、普通だと思っていたものへの驚き</t>
  </si>
  <si>
    <t>TS／第三者の配信への映り込み／もふもふ</t>
  </si>
  <si>
    <t>VRゲームを配信し、勝利や名声より失敗を恐れず純粋に冒険を楽しむことを中心に掲げる。</t>
  </si>
  <si>
    <t>遊びとして自由に冒険する楽しさと超絶技巧</t>
  </si>
  <si>
    <t>異世界帰還／VRMMO／遊ぶことが目的／実力露見</t>
  </si>
  <si>
    <t>復讐・雪辱</t>
  </si>
  <si>
    <t>暴力を受けても公的機関に助けられなかった男が、力を得て理不尽な探索者へ対抗する。</t>
  </si>
  <si>
    <t>泣き寝入りから脱し、理不尽へ反撃する</t>
  </si>
  <si>
    <t>覚醒／最強／支配能力</t>
  </si>
  <si>
    <t>専門業務・実務</t>
  </si>
  <si>
    <t>修行・研鑽</t>
  </si>
  <si>
    <t>荷運び・倉庫整理という実務と身体強化の習得を経て、護衛筆頭への上昇をタイトルが約束する。</t>
  </si>
  <si>
    <t>地道な仕事と習得した技術が待遇を変える</t>
  </si>
  <si>
    <t>異世界との往来／恩返し／護衛</t>
  </si>
  <si>
    <t>食・接客・もてなし</t>
  </si>
  <si>
    <t>妹との食卓のために食材を狩り、その圧倒的な攻略配信が毎回話題になる。</t>
  </si>
  <si>
    <t>鮮やかな討伐と食卓の充足</t>
  </si>
  <si>
    <t>兄妹／炎上／世間と本人の認識差</t>
  </si>
  <si>
    <t>探索と自動狩りの収益を、家電・食事・住宅拡張の購入に充てる循環を明示する。</t>
  </si>
  <si>
    <t>獲得した資源を使って暮らしが豊かになる</t>
  </si>
  <si>
    <t>召喚軍団／放置稼ぎ／ショップ／消費による生活充実</t>
  </si>
  <si>
    <t>カードの融合で使い魔を作り、底辺から凄腕探索者へ成り上がることを明示する。</t>
  </si>
  <si>
    <t>低評価の力が有用性を示し、立場が上がる</t>
  </si>
  <si>
    <t>第三者配信／カード／無自覚</t>
  </si>
  <si>
    <t>巨大地下施設の建設・生活基盤の整備・防衛を通じて理想の共同体を築く。</t>
  </si>
  <si>
    <t>作り上げる達成感と安全・快適さの獲得</t>
  </si>
  <si>
    <t>回帰／建設システム／終末への備え</t>
  </si>
  <si>
    <t>清掃の労働と賃金獲得を本人の継続行動とし、その仕事が魔物や呪いの除去になる。</t>
  </si>
  <si>
    <t>地味な仕事の有用性と、本人が知らない実力の評価</t>
  </si>
  <si>
    <t>無自覚／認識差／妹の治療費／追放</t>
  </si>
  <si>
    <t>借金返済のためのダンジョン通いと配信を、農業や家族・動物との田舎暮らしと併記する。</t>
  </si>
  <si>
    <t>返済と強化の積み重ね、穏やかな暮らし</t>
  </si>
  <si>
    <t>肩代わり能力／無自覚／報い</t>
  </si>
  <si>
    <t>競技・勝負</t>
  </si>
  <si>
    <t>恋愛・結婚</t>
  </si>
  <si>
    <t>魔法と魔術の試合を繰り返し、その勝敗が才女の執着と社会的評価を変える。</t>
  </si>
  <si>
    <t>知識が才能を上回る勝利と、強まる恋愛的執着</t>
  </si>
  <si>
    <t>学園／ヤンデレ／定説の反転</t>
  </si>
  <si>
    <t>ゲーム内のボス攻略と危機にあるプレイヤーの救助が、配信によって広く知られる。</t>
  </si>
  <si>
    <t>超絶技巧と救助の安心、仲間との新しい冒険</t>
  </si>
  <si>
    <t>異世界帰還／VRMMO／最強</t>
  </si>
  <si>
    <t>制裁・世直し</t>
  </si>
  <si>
    <t>個人的な被害の報復に限らず、社会の弱者搾取を私的な粛清で正すことを主目的に掲げる。</t>
  </si>
  <si>
    <t>社会悪への制裁によるカタルシス</t>
  </si>
  <si>
    <t>帰還勇者／ダークファンタジー／私刑</t>
  </si>
  <si>
    <t>家族・子育て</t>
  </si>
  <si>
    <t>妹の配信を裏方として支え、救助による注目と登録者増加が続くと紹介される。</t>
  </si>
  <si>
    <t>身内の夢を支える充足と、隠れた実力への周囲の驚き</t>
  </si>
  <si>
    <t>正体隠し／最強／兄妹</t>
  </si>
  <si>
    <t>経営・組織運営</t>
  </si>
  <si>
    <t>修復・復興</t>
  </si>
  <si>
    <t>性能重視の武器と量産品を開発し、左遷先の赤字工場を立て直す。</t>
  </si>
  <si>
    <t>技術の価値が認められ、製品と職場が改善する満足</t>
  </si>
  <si>
    <t>職人／会社配信／不遇からの再評価</t>
  </si>
  <si>
    <t>異能を使って探索・護衛・調査・救助などの依頼を受け、収入を得る仕事の循環が中心。</t>
  </si>
  <si>
    <t>自分に合う働き方の獲得と、働いた成果が能力に還元される充足</t>
  </si>
  <si>
    <t>TS／ガチャ／社会復帰／変身</t>
  </si>
  <si>
    <t>年収一億円を目標にダンジョン配信へ転職し、能力を得て稼ぐ道を選ぶ。</t>
  </si>
  <si>
    <t>努力と強化が収入・成功へつながる期待</t>
  </si>
  <si>
    <t>推し活／結婚願望／スキル吸収</t>
  </si>
  <si>
    <t>妹を守るため幼少期から陰陽術を学び、前世の魔法と組み合わせて極める。</t>
  </si>
  <si>
    <t>習得と工夫による強さの蓄積、大切な人を守れる安心</t>
  </si>
  <si>
    <t>転生／元勇者／兄妹／式神</t>
  </si>
  <si>
    <t>魔法由来の商品を事業化し、企業を多分野へ拡大して社会的影響力を高める。</t>
  </si>
  <si>
    <t>事業と富の拡大、現実社会を動かせる力</t>
  </si>
  <si>
    <t>異世界帰還／魔法薬／政治への影響</t>
  </si>
  <si>
    <t>専門業務・実務／配信・視聴者交流</t>
  </si>
  <si>
    <t>高難度素材の解体を配信し、屋台のまかないでも技量を発揮する。</t>
  </si>
  <si>
    <t>見過ごされた熟練技能への正当な評価と、食を通じた親しみ</t>
  </si>
  <si>
    <t>解雇／おっさん／実力発覚／ざまぁ</t>
  </si>
  <si>
    <t>謎解き・調査</t>
  </si>
  <si>
    <t>放課後の単独探索で未知の区画へ進み、失踪した母の痕跡を追いつつ学校生活を送る。</t>
  </si>
  <si>
    <t>未知の発見と謎への接近、変化した日常への適応</t>
  </si>
  <si>
    <t>TS／学園青春／単独行動</t>
  </si>
  <si>
    <t>ゲーム設計の知識でダンジョンの条件・報酬を作り、集客と経営を改善する。</t>
  </si>
  <si>
    <t>工夫が顧客の楽しさと運営成果の両方につながる充足</t>
  </si>
  <si>
    <t>ダンジョンマスター／規約の活用／ゲーム設計</t>
  </si>
  <si>
    <t>卵から生まれて父と慕う少女を育てる関係を中心に、少女とダンジョンを歩く。</t>
  </si>
  <si>
    <t>慕われる喜びと、危険視される子を家族として受け入れる愛着</t>
  </si>
  <si>
    <t>人外の子／最強幼女／世間との認識差</t>
  </si>
  <si>
    <t>異世界の経験で現代ダンジョンを攻略し、姪の勧めた配信で評価を高める。</t>
  </si>
  <si>
    <t>経験による圧倒的な活躍と、それが広く認められる満足</t>
  </si>
  <si>
    <t>帰還勇者／おっさん／ハーレム</t>
  </si>
  <si>
    <t>動物・非人間との交流</t>
  </si>
  <si>
    <t>民間の捜索隊として遭難者を捜し、相棒のタヌキと人命救助を行うと明記する。</t>
  </si>
  <si>
    <t>危機から助け出す安心と、相棒との掛け合い</t>
  </si>
  <si>
    <t>最強／うっかり配信／仕事もの</t>
  </si>
  <si>
    <t>都会の普通の高校生活を望む少年が、突出した剣技ゆえに配信界隈で注目される。</t>
  </si>
  <si>
    <t>憧れの日常の獲得と、本人の普通と周囲の驚きの落差</t>
  </si>
  <si>
    <t>学園／田舎出身／無自覚最強／配信での露見</t>
  </si>
  <si>
    <t>判定保留</t>
  </si>
  <si>
    <t>紹介情報不足で保留</t>
  </si>
  <si>
    <t>転生と発声できない制約は示されるが、無双・恋愛・配信のどれが継続活動の中心かは紹介情報から決められない。</t>
  </si>
  <si>
    <t>不便を工夫で越える期待は読み取れるが、主な報酬は未確定</t>
  </si>
  <si>
    <t>TS／失声症／最強・GL・配信はタグ情報</t>
  </si>
  <si>
    <t>紹介情報不足</t>
  </si>
  <si>
    <t>異世界の話を人に聞かせるため、ライバーになることを主目的に掲げる。</t>
  </si>
  <si>
    <t>経験を語って人を楽しませ、関心を集める喜び</t>
  </si>
  <si>
    <t>異世界帰還／掲示板／最強・成り上がりはタグ情報</t>
  </si>
  <si>
    <t>異世界で妻だった三人が、記憶を持たない現在の少年との関係を取り戻そうとする。</t>
  </si>
  <si>
    <t>複数の相手から求められる充足と、記憶の差が生む恋愛の駆け引き</t>
  </si>
  <si>
    <t>逆行に似た時間差／ハーレム／学園青春</t>
  </si>
  <si>
    <t>底辺の雑魚狩りから危険区域へ落ち、神話級の双剣を得る導入で、討伐と探索が示される。</t>
  </si>
  <si>
    <t>不遇な戦闘者が強力な武器で可能性を開く期待</t>
  </si>
  <si>
    <t>適性なし／武器獲得／掃除屋という職名</t>
  </si>
  <si>
    <t>紹介文で判定（導入中心）</t>
  </si>
  <si>
    <t>交渉・外交</t>
  </si>
  <si>
    <t>採掘・精錬・電力・自動化設備を拡大し、政府との取引で開発の支援を得る。</t>
  </si>
  <si>
    <t>生産設備がつながり拡大する手応えと、技術の社会的な価値</t>
  </si>
  <si>
    <t>惑星開発／工場自動化／別ルート版</t>
  </si>
  <si>
    <t>置き去りにされた運び屋の戦闘能力が録画で明らかになり、功績と評価が本人へ戻ることを中心に据える。</t>
  </si>
  <si>
    <t>不当に扱われた能力の再評価と、功績を奪う相手への反転</t>
  </si>
  <si>
    <t>追放／ざまぁ／配信切り忘れ／運搬は役職</t>
  </si>
  <si>
    <t>記憶と個性を保つ小動物の召喚獣と共に戦い、育てて強い存在へ成長させる。</t>
  </si>
  <si>
    <t>小さな相棒への愛着と、一緒に育つ達成感</t>
  </si>
  <si>
    <t>召喚／進化／最弱からの成長</t>
  </si>
  <si>
    <t>妻と上司の裏切りなどで転落した人生を、帰還後の力で逆転すると掲げる。</t>
  </si>
  <si>
    <t>理不尽に屈せず尊厳と優位を取り戻す満足</t>
  </si>
  <si>
    <t>異世界帰還／中年／不倫／ざまぁ</t>
  </si>
  <si>
    <t>未知のダンジョンに惹かれて退職し、未発見の入口を探して自ら踏み込む。</t>
  </si>
  <si>
    <t>未知へ踏み出す高揚と、初めて熱中する対象を得る期待</t>
  </si>
  <si>
    <t>寄生虫は題名情報／強化の切迫はキャッチ情報</t>
  </si>
  <si>
    <t>修練を終えた後、予知的な能力で投機や当たりくじを利用し、働かず自由な生活を送る。</t>
  </si>
  <si>
    <t>積み重ねた力を使って生活上の不自由から解放される満足</t>
  </si>
  <si>
    <t>超能力／最強／怠惰／修練は前史</t>
  </si>
  <si>
    <t>魔獣から人を守る魔法少女という枠組みと魔獣討伐タグが示す戦闘を、暫定的な主ベースとする。</t>
  </si>
  <si>
    <t>秘密の戦力として活躍する期待</t>
  </si>
  <si>
    <t>TS変身／正体隠し／二重生活</t>
  </si>
  <si>
    <t>紹介文で暫定判定（活動の説明が少ない）</t>
  </si>
  <si>
    <t>題名とキャッチは静かな生活と日銭の確保を約束するが、冒険者として行う活動の内訳は紹介されない。</t>
  </si>
  <si>
    <t>無理せず自活し、静かに暮らす安心</t>
  </si>
  <si>
    <t>失職／冒険者への転職</t>
  </si>
  <si>
    <t>少年を傷つけた相手への制裁と母の看取りを経て、望んでいた高校生活を謳歌すると紹介する。</t>
  </si>
  <si>
    <t>青春のやり直し、親孝行と理不尽の清算</t>
  </si>
  <si>
    <t>憑依転生／未来視／大人の経験</t>
  </si>
  <si>
    <t>本を読んで静かに暮らしたい賢者が、迷い込んだ少女の救助によって世間に発見される。</t>
  </si>
  <si>
    <t>好きなことに浸る生活と、隠れた力量への驚き</t>
  </si>
  <si>
    <t>古代魔法／正体への関心／配信での露見</t>
  </si>
  <si>
    <t>妹の治療費を討伐で稼ぎ、壊れかけた家族の日常を立て直すことを明記する。</t>
  </si>
  <si>
    <t>強さが家族の生活を助ける実感と、世間からの再評価</t>
  </si>
  <si>
    <t>帰還勇者／無自覚最強／配信での露見</t>
  </si>
  <si>
    <t>中二病の演技を楽しむ継続的な攻略配信が、女性の救助を機に注目を集める。</t>
  </si>
  <si>
    <t>演じる楽しさと、正体を隠したい本人と周囲の評価の落差</t>
  </si>
  <si>
    <t>正体隠し／黒歴史／ヤンデレ／勘違い</t>
  </si>
  <si>
    <t>幼い少女だけに戦わせないため魔法少女活動を続け、貯金が尽きる前に敵のボスを倒す。</t>
  </si>
  <si>
    <t>大人が責任を引き受けて子どもを戦いから解放する満足</t>
  </si>
  <si>
    <t>おっさん／TS変身／生活費による期限</t>
  </si>
  <si>
    <t>ダメージ計算の理解と仲間の錬金術を組み合わせた攻撃で強敵を倒し、低評価を覆す。</t>
  </si>
  <si>
    <t>不遇能力の使い方を見抜き、理屈で優位を得る快感</t>
  </si>
  <si>
    <t>仕様の穴／学園／見捨てられ／ざまぁ</t>
  </si>
  <si>
    <t>視聴者として攻略知識を教え、実地でも探索者を助けることが紹介の中心。</t>
  </si>
  <si>
    <t>経験と助言が役立つ充足と、助言者の正体への驚き</t>
  </si>
  <si>
    <t>異世界帰還／指示厨／認識の食い違い</t>
  </si>
  <si>
    <t>料理でもふもふの神獣を餌付けし、ダンジョン最深部で気ままに暮らす。</t>
  </si>
  <si>
    <t>食事で懐かれる喜びと、強い相棒に囲まれた安心</t>
  </si>
  <si>
    <t>追放／ざまぁ／偶発的な配信／料理バフ</t>
  </si>
  <si>
    <t>芸能・表現</t>
  </si>
  <si>
    <t>戦闘の苦手な主人公が演奏と料理で幼なじみを支え、隊のリーダーとして評価される。</t>
  </si>
  <si>
    <t>戦う以外の貢献で居場所を得る充足と、評価のギャップ</t>
  </si>
  <si>
    <t>配信／周囲が最強／勘違いリーダー</t>
  </si>
  <si>
    <t>お嬢様として攻略配信を続けていた少女が、露見した強さを契機に人気と影響力を伸ばす。</t>
  </si>
  <si>
    <t>突出した実力の発見と、キャラクターの落差を楽しむ満足</t>
  </si>
  <si>
    <t>配信切り忘れ／お嬢様口調／コメディ</t>
  </si>
  <si>
    <t>題名は配信者の反復救助を掲げ、紹介文では学園の日常と精霊の力による無双を併記する。</t>
  </si>
  <si>
    <t>人を助ける活躍と、低い校内評価に対する世間の称賛の落差</t>
  </si>
  <si>
    <t>TS／追放／ざまぁ／正体隠し／配信での露見</t>
  </si>
  <si>
    <t>現実の危機に気づかないゲーム熟練者が、襲われた少女を助けて魔物と戦う冒険へ入る。</t>
  </si>
  <si>
    <t>趣味で磨いた技術が実際の救いになる活躍と勘違いの笑い</t>
  </si>
  <si>
    <t>引きこもり／ゲーム技術の現実化／無自覚最強</t>
  </si>
  <si>
    <t>配信者事務所にマネージャーとして就職し、担当ユニットを業務で支える。</t>
  </si>
  <si>
    <t>推しを支えながら働き、能力を役立てる充足</t>
  </si>
  <si>
    <t>推し活／最強／過重労働</t>
  </si>
  <si>
    <t>土地・工房・魔力生産設備を増やし、治療等で得た資金を再投資して事業基盤を拡大する。</t>
  </si>
  <si>
    <t>小さな改善が設備と資金の増加につながり、大きな奇跡を可能にする手応え</t>
  </si>
  <si>
    <t>TCG型能力／中年／現代社会／将来の次元旅行</t>
  </si>
  <si>
    <t>レベル上げ自体への情熱を動機に、準備と効率化を重ねて強さを積み上げる。</t>
  </si>
  <si>
    <t>数値で確かめられる成長と、努力の成果による優位</t>
  </si>
  <si>
    <t>ステータス／やがて最強／事件への巻き込まれ</t>
  </si>
  <si>
    <t>歌・作曲・演奏・イラスト等を自由に楽しんで発信し、視聴者との輪を広げる。</t>
  </si>
  <si>
    <t>好きな表現に打ち込み、楽しさが人に伝わる充足</t>
  </si>
  <si>
    <t>TS転生／万能の才能／名声を目的にしない</t>
  </si>
  <si>
    <t>救助費を払えない主人公が自ら推しを救い、その後も助けた女性との関係が増える。</t>
  </si>
  <si>
    <t>救いたい相手を救い切る達成と、救助が深い好意として返る喜び</t>
  </si>
  <si>
    <t>推し活／無自覚最強／掃除は能力獲得の前史</t>
  </si>
  <si>
    <t>農業・栽培</t>
  </si>
  <si>
    <t>所有者に義務づけられたダンジョン管理の肉体労働から始まり、自力で境遇を改善する。</t>
  </si>
  <si>
    <t>厳しい労働から状況を良くする手応えと、家庭菜園の慰め</t>
  </si>
  <si>
    <t>自営業／底辺出発／不動産購入の失敗</t>
  </si>
  <si>
    <t>能力を借りるアプリによる人生の変化までで、何を継続して行う話かは紹介されない。</t>
  </si>
  <si>
    <t>苦しい生活から解放される期待はあるが、報酬を生む活動は未確定</t>
  </si>
  <si>
    <t>社畜／能力レンタル／復讐・配信はタグ情報</t>
  </si>
  <si>
    <t>畑仕事・家の手入れ・精霊との食卓を中心に、山と古民家で穏やかに暮らす。</t>
  </si>
  <si>
    <t>自分の手で生活を整える充足と、精霊との親しい暮らし</t>
  </si>
  <si>
    <t>DIY／無人販売／無自覚に異世界を救う</t>
  </si>
  <si>
    <t>治療と若返りを有料サービスにし、秘書を雇って高額顧客へ商売を拡大する。</t>
  </si>
  <si>
    <t>能力が収入と生活の余裕へ変わる満足、万能感を現実が崩す笑い</t>
  </si>
  <si>
    <t>鑑定は顧客選別の手段／脱税コメディ</t>
  </si>
  <si>
    <t>家族と仲間に裏切られた少年が、万物を創る力と自ら作る従者で残酷な復讐を進める。</t>
  </si>
  <si>
    <t>裏切りを清算する力と、裏切らない関係を自分で得る充足</t>
  </si>
  <si>
    <t>錬金術／人間不信／追放／ダーク</t>
  </si>
  <si>
    <t>未知の勢力と秘密のある現代ダンジョンを攻略し、キャッチでは主としての経営を掲げる。</t>
  </si>
  <si>
    <t>隠した力量で未知を突破し、支配できる領域を得る期待</t>
  </si>
  <si>
    <t>異世界帰還／正体隠し／ハーレム／解析とコピー</t>
  </si>
  <si>
    <t>分身と装備の活用を攻略配信で示し、企業スポンサーと有力な仲間を得て地位を逆転する。</t>
  </si>
  <si>
    <t>不遇能力の再評価と、支援・装備・仲間が増える手応え</t>
  </si>
  <si>
    <t>追放／ざまぁ／企業案件／装備複製</t>
  </si>
  <si>
    <t>最下層からの生還と能力獲得を経て世界最強になると掲げるが、その後の活動説明は少ない。</t>
  </si>
  <si>
    <t>危機を越えた力の獲得と、強さへの周囲の驚き</t>
  </si>
  <si>
    <t>神の加護／災難からの能力獲得</t>
  </si>
  <si>
    <t>紹介文で暫定判定（導入中心）</t>
  </si>
  <si>
    <t>霊力を使う退魔世界で、別系統の成長能力と身体能力によって妖魔を倒す。</t>
  </si>
  <si>
    <t>常識と違う強さで問題を突破する爽快感</t>
  </si>
  <si>
    <t>転生／能力系統の不一致／コメディ／勘違い</t>
  </si>
  <si>
    <t>弟妹を養うためダンジョン深部へ進み、装備に頼らず魔法を極めて稼ぐ。</t>
  </si>
  <si>
    <t>家族を養える力の獲得と、工夫・努力が生活を支える実感</t>
  </si>
  <si>
    <t>貧困／長男／才能の発見／成り上がり</t>
  </si>
  <si>
    <t>収集・鑑定</t>
  </si>
  <si>
    <t>強さや順位自体より、ゲーム的な実績を選んで獲得することに熱中してゲートへ向かう。</t>
  </si>
  <si>
    <t>達成項目を埋める収集欲と、未達成の条件を発見する楽しさ</t>
  </si>
  <si>
    <t>ゲーム的実績／世界初報酬／先行者利益</t>
  </si>
  <si>
    <t>高飛車な態度と戦闘技量を見せる配信で視聴者とやり取りし、人気配信者へ上がっていく。</t>
  </si>
  <si>
    <t>本人と視聴者の解釈の差を楽しみ、実力と個性が人気になる満足</t>
  </si>
  <si>
    <t>悪役令嬢転生／ツンデレ解釈／スパチャ</t>
  </si>
  <si>
    <t>配信視聴・グッズ集め・投げ銭の推し活を楽しむ日常が、推しの救助を機に本人との交流へ広がる。</t>
  </si>
  <si>
    <t>好きな相手を支える楽しさと、応援される側から関心を向けられる喜び</t>
  </si>
  <si>
    <t>推し活／無自覚最強／本人は配信者を志望しない</t>
  </si>
  <si>
    <t>危険を読み取る能力で襲撃を切り抜け、裏社会で最強の殺し屋として扱われる過程を掲げる。</t>
  </si>
  <si>
    <t>ゲーム技能に似た感覚で修羅場を突破し、評価が上がる満足</t>
  </si>
  <si>
    <t>暗殺／裏社会／FPS型UI／巻き込まれ</t>
  </si>
  <si>
    <t>オタク少女と同級生のギャルたちが交流を深め、組んだパーティでダンジョン配信を始める。</t>
  </si>
  <si>
    <t>異なる相手と仲間になり、一緒に未知へ進む高揚</t>
  </si>
  <si>
    <t>女子同士の友情／学園／やがて最強</t>
  </si>
  <si>
    <t>危機にある探索者の治療や、襲うモンスターの排除を繰り返す存在として紹介する。</t>
  </si>
  <si>
    <t>見えない助け手が危機を解決する安心と、その正体への興味</t>
  </si>
  <si>
    <t>人外／視聴者だけに見える／配信画面を介した介入</t>
  </si>
  <si>
    <t>食べ物を求める魔剣の少女を相棒に、無限の魔力と空間魔法でダンジョンを攻略する。</t>
  </si>
  <si>
    <t>強い相棒との掛け合い、食の楽しさと戦闘の優位</t>
  </si>
  <si>
    <t>追放／魔剣の擬人化／最強</t>
  </si>
  <si>
    <t>崩壊した世界で妻と幼い娘を生かすため、必要な生活物資を落とす魔物を選んで狩る。</t>
  </si>
  <si>
    <t>家族の具体的な必要を満たして生き延びる安心と、資源を揃える手応え</t>
  </si>
  <si>
    <t>ドロップ鑑定／幸運特化／物流停止</t>
  </si>
  <si>
    <t>魔物の特性を取り込んで戦力を高め、配信で注目されながら底辺から上がることを明記する。</t>
  </si>
  <si>
    <t>外れ扱いされた力の再評価と、段階的な強化・人気の増加</t>
  </si>
  <si>
    <t>能力吸収／低い同時視聴者数からの出発</t>
  </si>
  <si>
    <t>怪異に塩を撒いて対処する反復が示され、キャッチでは少女の救助を掲げる。</t>
  </si>
  <si>
    <t>怖い存在を身近な対抗手段で退ける安心と笑い</t>
  </si>
  <si>
    <t>ホラー／怪談／怖がる主人公／オカルト</t>
  </si>
  <si>
    <t>モンスターの育成・合体を行い、大会とランク認定戦で頂点を目指す。</t>
  </si>
  <si>
    <t>育てた相棒の成長と、成果を勝負で確かめる達成感</t>
  </si>
  <si>
    <t>ゲーム知識／遺産争い／転生</t>
  </si>
  <si>
    <t>箱庭に集まる子ども・老人・おっさんとの、期待と違う共同生活コメディを中心に紹介する。</t>
  </si>
  <si>
    <t>望みと現実の落差の笑いと、賑やかな居場所</t>
  </si>
  <si>
    <t>箱庭ガチャ／スローライフ／街づくりはタグ情報</t>
  </si>
  <si>
    <t>旅・異文化交流</t>
  </si>
  <si>
    <t>異世界から伴侶たちと日本へ戻り、文化や行動の違いに対応しながら一緒に暮らして養う。</t>
  </si>
  <si>
    <t>異文化の相手との生活上の発見と、関係を保つ楽しさ</t>
  </si>
  <si>
    <t>異世界帰還／中年／ハーレム／逆異世界来訪</t>
  </si>
  <si>
    <t>剣と魔法の経験で現代ダンジョンを攻略し、再び異世界へ渡る道を求める。</t>
  </si>
  <si>
    <t>時代の常識を上回る熟練の強さと、待つ人のもとへ戻る期待</t>
  </si>
  <si>
    <t>異世界帰還／おっさん／科学装備との対比</t>
  </si>
  <si>
    <t>撮影を仕事にする男が救助で実力を知られ、公式記録による証明を重ねて地位を上げる。</t>
  </si>
  <si>
    <t>軽視された働き手の能力が正当に認められる満足</t>
  </si>
  <si>
    <t>カメラマン／偶発的な映り込み／最強／ハーレム</t>
  </si>
  <si>
    <t>ゾンビ災害の中で物資を集め、助けた女性たちと安全な場所を目指して生き延びる。</t>
  </si>
  <si>
    <t>備えと経験で安全を確保する安心、人とのつながり</t>
  </si>
  <si>
    <t>中年／帰還勇者／ハーレム／世界救済より自活</t>
  </si>
  <si>
    <t>女性を助けるヒーラーになることを目指し、男女の慣習が逆の社会で好意への対応も迫られる。</t>
  </si>
  <si>
    <t>回復役として人の役に立つ充足と、希少な存在として求められる期待</t>
  </si>
  <si>
    <t>転生／男女比／貞操逆転／学園</t>
  </si>
  <si>
    <t>魔女専門の飲食店で働き、危険な客や契約を相手に生き延びながら恋愛関係も広がる。</t>
  </si>
  <si>
    <t>食のおいしさと危険な職場の笑い、癖の強い相手との関係</t>
  </si>
  <si>
    <t>仕事もの／魔女／契約／ハーレム</t>
  </si>
  <si>
    <t>落とし物・遺品・素材を拾って届ける個人事業を営み、その過程で消失の秘密に迫る。</t>
  </si>
  <si>
    <t>見落とされた物を必要な人へ戻す充足と、発見が収入になる手応え</t>
  </si>
  <si>
    <t>非戦闘／清掃バイトから独立／兄妹／配信</t>
  </si>
  <si>
    <t>人生を巻き戻した少年が、今度は人間関係に縛られずダンジョン攻略に熱中する。</t>
  </si>
  <si>
    <t>好きな活動に自分の時間を使う自由と、人生の再出発</t>
  </si>
  <si>
    <t>やり直し／学園／人間不信／努力</t>
  </si>
  <si>
    <t>帰還後の生活を、本音まで見える能力による対人上の困りごとを交えて紹介する。災害予知後の行動は不明。</t>
  </si>
  <si>
    <t>人の思惑が見える可笑しさと、変化した社会で居場所を得る期待</t>
  </si>
  <si>
    <t>異世界帰還／鑑定は読心の手段／災害予知</t>
  </si>
  <si>
    <t>紹介文で暫定判定（主活動の説明が少ない）</t>
  </si>
  <si>
    <t>魔物を倒して料理し、食べて強くなる過程を発信し、料理自体を求める視聴者を集める。</t>
  </si>
  <si>
    <t>食の楽しさと強化の両立、得意なことに人が集まる喜び</t>
  </si>
  <si>
    <t>追放／ざまぁ／料理による能力獲得</t>
  </si>
  <si>
    <t>必ず犠牲になる推しを救うため、低い適性を知識・準備・基礎術の組み合わせで補う。</t>
  </si>
  <si>
    <t>救えないとされた人を救う期待と、積み重ねで不利を覆す手応え</t>
  </si>
  <si>
    <t>ゲーム転生／原作知識／才能不足／陰陽師</t>
  </si>
  <si>
    <t>キャンプを楽しみ、生産活動と外敵を拒む安全圏の設営によって帰れる場所を作り続ける。</t>
  </si>
  <si>
    <t>自由な野外生活と、自分で安心を整える充足</t>
  </si>
  <si>
    <t>非戦闘／外れスキル／料理・農業も含む</t>
  </si>
  <si>
    <t>防衛・保護／配信・視聴者交流</t>
  </si>
  <si>
    <t>主人である少女を護衛し撮影でも配信を支える従者の働きが、女性たちの好意と注目を集める。</t>
  </si>
  <si>
    <t>大切な相手を支えて守る充足と、当たり前の行動が評価される落差</t>
  </si>
  <si>
    <t>貞操逆転／男女比／従者／お嬢様／勘違い</t>
  </si>
  <si>
    <t>田舎で唯一の探索者として活動する少年が、やがて世界に名を知られる過程を掲げる。</t>
  </si>
  <si>
    <t>埋もれていた実力が広く認められる満足</t>
  </si>
  <si>
    <t>田舎／主人公最強／配信・ハーレムはタグ情報</t>
  </si>
  <si>
    <t>紹介文で判定（活動の内訳は少ない）</t>
  </si>
  <si>
    <t>異世界の騎士が山に来るという導入とタグのみで、交流・恋愛・地域活動等の中心は判断できない。</t>
  </si>
  <si>
    <t>異世界来訪者への興味以外の継続的な報酬は未確定</t>
  </si>
  <si>
    <t>女性向け／騎士／因習村・成り上がりはタグ情報</t>
  </si>
  <si>
    <t>推しとの食事コラボを目標にVTuberとしてデビューし、活動を拡大する。</t>
  </si>
  <si>
    <t>食でもてなして推しと接点を得る喜び、活動が広がる手応え</t>
  </si>
  <si>
    <t>推し活／最強探索者／事務所所属</t>
  </si>
  <si>
    <t>赴任先が滅ぶと知りながら家族のため逃げられず、生き残るため操縦訓練を重ねる。</t>
  </si>
  <si>
    <t>避けられない危機に準備で抗う手応えと、生還への期待</t>
  </si>
  <si>
    <t>原作知識／転生／ロボット／家族を養う責任</t>
  </si>
  <si>
    <t>2026-09-04_fantasy_weekly.csv</t>
  </si>
  <si>
    <t>訳ありの人材を雇い、待遇と担当者を変えて仕事と領地を改善し、自分の楽な暮らしを得ようとする。</t>
  </si>
  <si>
    <t>見捨てられた能力が働くことで組織が良くなり、忠誠が返る満足</t>
  </si>
  <si>
    <t>悪役転生／搾取するつもりの勘違い／処刑予定</t>
  </si>
  <si>
    <t>好きな魔剣鍛冶に打ち込める学校へ入り、学園生活と国家防衛の実地任務を両立する。</t>
  </si>
  <si>
    <t>好きな技術を伸ばせる環境と、仲間・活躍の場を得る喜び</t>
  </si>
  <si>
    <t>転生／田舎育ち／学園／無自覚の才能</t>
  </si>
  <si>
    <t>家族に無視されて育った少年が村を出て、知識と技術で冒険者として生活の基盤を整える。</t>
  </si>
  <si>
    <t>自分の力で暮らしと居場所を獲得する安心</t>
  </si>
  <si>
    <t>少年主人公／不遇な家庭／冒険者</t>
  </si>
  <si>
    <t>異世界の食材で定食を再現し、店を訪れる客と疲れた女帝を料理でもてなす。</t>
  </si>
  <si>
    <t>おいしい食事の実感と、専門技術が人の心を癒す喜び</t>
  </si>
  <si>
    <t>異世界転移／身分差／お忍び／チートなし</t>
  </si>
  <si>
    <t>低い身分のままその日暮らしを楽しむ元最強の男を中心に、隠れた戦闘の余裕を約束する。</t>
  </si>
  <si>
    <t>肩書から離れた自由と、余裕ある熟練者の強さ</t>
  </si>
  <si>
    <t>中年／正体隠し／煙草／元組織トップ</t>
  </si>
  <si>
    <t>裁判で過去の映像を一つずつ検証すると記憶との食い違いが判明し、兄妹の因縁の真相に迫る。</t>
  </si>
  <si>
    <t>証言の意味が変わる驚きと、家族への理解が更新される期待</t>
  </si>
  <si>
    <t>法廷／過去の再提示／シリアス／四姉妹</t>
  </si>
  <si>
    <t>田舎育ちの少年が二系統の試験で首席となり、勢力から勧誘と婚約を求められる。</t>
  </si>
  <si>
    <t>自覚のない才能が発見され、有力者から必要とされる満足</t>
  </si>
  <si>
    <t>転生／二分野の才能／資格試験／認識差</t>
  </si>
  <si>
    <t>魔法の才能不足を丈夫な身体で可能になる反復鍛錬で補い、万能の魔法使いを目指す。</t>
  </si>
  <si>
    <t>好きな分野を諦めず、特性の活用と積み重ねで到達する達成感</t>
  </si>
  <si>
    <t>転生／努力／不得意分野への挑戦</t>
  </si>
  <si>
    <t>壊れた井戸・家・道具を再生し、捨てられた土地へ人々を集めて住める場所に変える。</t>
  </si>
  <si>
    <t>不要とされた物や人が価値を取り戻し、生活が整う満足</t>
  </si>
  <si>
    <t>クラス転移／追放／ざまぁ／幼馴染</t>
  </si>
  <si>
    <t>魔獣・神獣の言葉を理解して信頼を得ることで、追放先を強い独立領へ育てる。</t>
  </si>
  <si>
    <t>理解されなかった相手と通じ合い、親しい仲間が力になる喜び</t>
  </si>
  <si>
    <t>悪役転生／追放／破滅回避／外れスキル</t>
  </si>
  <si>
    <t>戦争・指揮</t>
  </si>
  <si>
    <t>弱い辺境領を発展させ、大陸統一を目指す過程を妻との関係の変化とともに描く。</t>
  </si>
  <si>
    <t>領地を育て勢力を広げる達成感と、伴侶に支えられる充足</t>
  </si>
  <si>
    <t>戦略ゲーム転生／嫁チート／溺愛</t>
  </si>
  <si>
    <t>田舎の剣士が実力を知られて再び最前線で戦い、人々から剣聖と称えられる。</t>
  </si>
  <si>
    <t>年齢や低い自己評価を越え、蓄積した技が認められる満足</t>
  </si>
  <si>
    <t>中年／無自覚／実力の発見／再挑戦</t>
  </si>
  <si>
    <t>人のために功績を譲ってきた熟練冒険者が、自分のために未踏の大迷宮へ挑む。</t>
  </si>
  <si>
    <t>遅れてでも自分の望む冒険に踏み出す高揚と、実力を示す期待</t>
  </si>
  <si>
    <t>中年／善意／低い記録上の評価／再出発</t>
  </si>
  <si>
    <t>行き場のない人材を雇って働ける条件を整え、荒れた屋敷から領地まで動かしていく。</t>
  </si>
  <si>
    <t>適切な待遇で人の力が戻り、集団と暮らしが改善する満足</t>
  </si>
  <si>
    <t>悪役転生／搾取のつもりの勘違い／訳あり人材</t>
  </si>
  <si>
    <t>異世界で酒場を拠点に常連たちと気楽な日々を送り、そこへ依頼が入る。</t>
  </si>
  <si>
    <t>気兼ねなく集まれる場を持つ安心と、常連との交流</t>
  </si>
  <si>
    <t>中年／チート／美青年の来店理由は謎</t>
  </si>
  <si>
    <t>スラムから衣食住を得るため官吏試験を受け、実務能力で王女の側近へ抜擢される。</t>
  </si>
  <si>
    <t>地味な知識が就職と生活の安定につながる満足</t>
  </si>
  <si>
    <t>転生／現代知識／世間知らず／宮廷</t>
  </si>
  <si>
    <t>鉄を拾って搾取されていた少年が、記憶の回復とギフトの進化により仲間と境遇を変える。</t>
  </si>
  <si>
    <t>低く見られた能力に価値を見つけ、仲間と貧困を抜ける期待</t>
  </si>
  <si>
    <t>転生／孤児／知識活用／ざまぁ</t>
  </si>
  <si>
    <t>契約事務所を開き、不利な契約を覆しながら精霊・魔物との新たな契約関係を結ぶ。</t>
  </si>
  <si>
    <t>専門知識で理不尽を解き、見えにくかった仕事の価値が示される満足</t>
  </si>
  <si>
    <t>解雇／追放ざまぁ／国家の維持業務／相棒</t>
  </si>
  <si>
    <t>復讐より普通に働く生活を選び、書類処理能力で皇女の秘書官に抜擢される。</t>
  </si>
  <si>
    <t>能力を穏当な暮らしに役立てる充足と、予定外の配属の可笑しさ</t>
  </si>
  <si>
    <t>亡国王子／正体隠し／元許嫁／宮廷</t>
  </si>
  <si>
    <t>宿の賄いと朝食を改善し、客の笑顔と評判を増やして宿を再生する。</t>
  </si>
  <si>
    <t>身近な料理が人と店を元気にする喜び、落ち着いた働き暮らし</t>
  </si>
  <si>
    <t>異世界転移／中年／チートなし／現代の自炊知識</t>
  </si>
  <si>
    <t>煩わしいパーティを離れ、男性不足の集落で女性に囲まれる生活を始める。</t>
  </si>
  <si>
    <t>人間関係の負担からの解放と、歓迎され求められる充足</t>
  </si>
  <si>
    <t>追放を歓迎／男女比／ハーレム／転生</t>
  </si>
  <si>
    <t>推しの女性たちを救うため大災害や魔獣を倒し、紳士的な対応が恋愛感情を生む。</t>
  </si>
  <si>
    <t>好きな相手を救う爽快感と、本人が気づかない好意の積み重なり</t>
  </si>
  <si>
    <t>ゲーム転生／NPCとの誤認／貞操逆転／男女比</t>
  </si>
  <si>
    <t>王として勇者制度や治安政策を見直し、癖の強い王妃と大臣に支えられて統治する。</t>
  </si>
  <si>
    <t>当たり前とされた制度を実務感覚で改善する満足と、夫婦の掛け合い</t>
  </si>
  <si>
    <t>中年転生／RPGのお約束への批評／パロディ</t>
  </si>
  <si>
    <t>倒されずに残った歴代の魔王を、全作品の知識で一体ずつ討伐することを明確な目標にする。</t>
  </si>
  <si>
    <t>攻略知識で難敵を突破し、累積した脅威を取り除く達成感</t>
  </si>
  <si>
    <t>ゲーム転生／悪役／シリーズ横断知識／破滅回避</t>
  </si>
  <si>
    <t>農作業に向かない青年が魔導師試験で首席となり、才能を発揮できる役職へ進む。</t>
  </si>
  <si>
    <t>合わない環境での低評価から、適性が活きる居場所への転換</t>
  </si>
  <si>
    <t>現地主人公／田舎／無自覚の才能／受験</t>
  </si>
  <si>
    <t>婚約破棄と献身の軽視を受け、王国への支援を打ち切って自領の安全と静かな生活を守る。</t>
  </si>
  <si>
    <t>尽くす義務から離れ、軽視した側が失った価値を知る反転</t>
  </si>
  <si>
    <t>婚約破棄／支援撤回／王国崩壊／ざまぁ</t>
  </si>
  <si>
    <t>恩を受けた村を守り、人間・亜人・魔物の集まる共同体を国へ成長させる。</t>
  </si>
  <si>
    <t>小さな恩返しが安心と仲間を増やし、村と自身が育つ喜び</t>
  </si>
  <si>
    <t>竜への転生／進化／多種族共存</t>
  </si>
  <si>
    <t>勇者パーティから抜けた少年へ、幼なじみの女勇者が関わり続ける恋愛を主軸に掲げる。</t>
  </si>
  <si>
    <t>離れたつもりでも必要とされる充足と、執着の強さの可笑しさ</t>
  </si>
  <si>
    <t>自主脱退／ヤンデレ／鈍感／実力差</t>
  </si>
  <si>
    <t>世界のため悪役を演じつつ民を救い陰謀を潰す行動が、英雄という評価と救おうとする仲間を生む。</t>
  </si>
  <si>
    <t>隠れた献身が理解され、支えた人々から支え返される満足</t>
  </si>
  <si>
    <t>悪役転生／自己犠牲／意図と評価の逆転</t>
  </si>
  <si>
    <t>心のケア・関係の修復</t>
  </si>
  <si>
    <t>喪失した少女の破滅を避けるために愛情を向け続け、その結果変わる二人の関係を中心に据える。</t>
  </si>
  <si>
    <t>傷ついた相手を受け入れる親密さと、強まる依存への緊張</t>
  </si>
  <si>
    <t>ゲーム転生／復讐は少女の前提／ヤンデレ／曇らせ</t>
  </si>
  <si>
    <t>何でも買えるショップ能力を使って商売で稼ぐと、題名と紹介文で明示する。</t>
  </si>
  <si>
    <t>商品へのアクセスを収入へ変える期待</t>
  </si>
  <si>
    <t>ショップ系能力／短い紹介文</t>
  </si>
  <si>
    <t>紹介文で判定（商売の内訳は不明）</t>
  </si>
  <si>
    <t>二世界を往復して手紙や動画を家族へ届け、帰れない人の未練や姉妹の関係を解きほぐす。</t>
  </si>
  <si>
    <t>断たれたつながりを戻す感動と、文化・食を分かち合う喜び</t>
  </si>
  <si>
    <t>週末異世界／帰還能力／現代品の持ち込み／ハーレム</t>
  </si>
  <si>
    <t>異世界でパンを作り食の質を変えることが題名とキャッチに示されるが、店の運営等は未紹介。</t>
  </si>
  <si>
    <t>職人の技でおいしいものを実現する期待</t>
  </si>
  <si>
    <t>異世界転移／パン職人／領地経営は疑問形のタグ</t>
  </si>
  <si>
    <t>転生を繰り返しながら厄災討伐を目指し、その過程での出会いと愛情で孤独に抗う。</t>
  </si>
  <si>
    <t>制約の中で攻略へ近づく手応えと、繰り返す喪失の中でのつながり</t>
  </si>
  <si>
    <t>周回／能力の取捨選択／ヤンデレ／孤独</t>
  </si>
  <si>
    <t>捨てられた状態から水魔法で衣食住や道具を得て生き抜き、自分が捨てられた理由も探る。</t>
  </si>
  <si>
    <t>最低限の資源から生存と生活を確保し、出自に迫る期待</t>
  </si>
  <si>
    <t>転生／万能水魔法／復讐編の存在は告知情報</t>
  </si>
  <si>
    <t>敵襲下の機動兵器としてパイロットを助けながら戦い、生き残るサバイバルを掲げる。</t>
  </si>
  <si>
    <t>少年を支えつつ激戦を突破する手応えと、兵器視点の可笑しさ</t>
  </si>
  <si>
    <t>ロボット転生／宇宙戦争／中年の意識</t>
  </si>
  <si>
    <t>婚約破棄の交渉で酒税免除を得て、前世知識と魔法で多種類の酒を製造する。</t>
  </si>
  <si>
    <t>好きな味を技術で再現し、自由に作って楽しむ充足</t>
  </si>
  <si>
    <t>悪役令嬢転生／婚約破棄／酒造り／ざまぁ</t>
  </si>
  <si>
    <t>処分される運命を避けようと行動する中で、死ぬ予定だった女性を救い強い好意を向けられる。</t>
  </si>
  <si>
    <t>破滅回避と救助の成功、理想の役柄と実際の評価の落差</t>
  </si>
  <si>
    <t>悪役転生／原作知識／ライバル願望／勘違い</t>
  </si>
  <si>
    <t>少女に召喚された弱いゴブリンとして戦場へ出され、二人で生き延びることを題名に掲げる。</t>
  </si>
  <si>
    <t>弱い立場から相棒と窮地を越える期待</t>
  </si>
  <si>
    <t>人外転生／再召喚／召喚主との立場の逆転</t>
  </si>
  <si>
    <t>田舎では活かせなかった才能が、偶然受けた勇者選抜試験の成績で発見される。</t>
  </si>
  <si>
    <t>知られなかった才能が正しい場で認められる満足</t>
  </si>
  <si>
    <t>田舎／試験／血統は題名情報／無自覚</t>
  </si>
  <si>
    <t>格上を倒して得るポイントで能力を増やし、低レベル表示のままさらに強敵を狩る。</t>
  </si>
  <si>
    <t>不利とされた仕様を活かし、戦闘成果が次の強さに直結する快感</t>
  </si>
  <si>
    <t>レベル固定／成長資源の転換／転生／相棒</t>
  </si>
  <si>
    <t>休日に日本で飲食を楽しみ、そこで得た食の知識を異世界での問題解決にも役立てる。</t>
  </si>
  <si>
    <t>おいしい食と酒でくつろぐ楽しさ、異文化の知見が役立つ喜び</t>
  </si>
  <si>
    <t>二世界往復／令嬢の裏の顔／飲み歩き</t>
  </si>
  <si>
    <t>魔術具を作るという自分の願いを形にし、人々の暮らしを少しずつ変える。</t>
  </si>
  <si>
    <t>発明が役に立つ実感と、やりたかったことを実現する充足</t>
  </si>
  <si>
    <t>転生／辺境貴族／家族愛／生産職</t>
  </si>
  <si>
    <t>家から支援を断たれた令嬢が、周囲との関わりの中で気ままに暮らせる日常を整える。</t>
  </si>
  <si>
    <t>自分の暮らしを自分で選び、落ち着ける場所を得る安心</t>
  </si>
  <si>
    <t>転生／見捨てられ／魔法／従魔はタグ情報</t>
  </si>
  <si>
    <t>野菜・家畜・技術を成長させて、貧しい領地を経済と軍事の中心地へ変える。</t>
  </si>
  <si>
    <t>小さな生産改善が領地全体の豊かさへ積み重なる手応え</t>
  </si>
  <si>
    <t>転生おじさん／万能育成スキル／好感度操作／勘違い</t>
  </si>
  <si>
    <t>婚約破棄された青年が、以前から好意を持つ公爵令嬢とのデートや交流で相思相愛へ進む。</t>
  </si>
  <si>
    <t>一途に選ばれ大切にされる充足と、不当な低評価の反転</t>
  </si>
  <si>
    <t>婚約破棄／濡れ衣／クーデレ／ざまぁ</t>
  </si>
  <si>
    <t>才能のない見習いが自分を主人公だと信じ、剣で何度倒されても立ち上がって運命を変える。</t>
  </si>
  <si>
    <t>折れない挑戦が周囲と結果を変える手応え</t>
  </si>
  <si>
    <t>原作未読の転生／自己認識のずれ／妖怪退治</t>
  </si>
  <si>
    <t>恋愛・性的関係の実態を知らない勇者と、すでに結ばれた主人公たちの関係を日常コメディにする。</t>
  </si>
  <si>
    <t>人間関係で優位にある充足と、他者の思い込みとの落差</t>
  </si>
  <si>
    <t>ハーレム／寝取り／追放宣言の反復／勘違い</t>
  </si>
  <si>
    <t>集団から離れた男が戦力を整え、欲望に忠実に女性との関係とダンジョン攻略を進める。</t>
  </si>
  <si>
    <t>自分の判断で利益・力・関係を得て進む優越感</t>
  </si>
  <si>
    <t>クラス転移／単独行動／合理主義／ダーク</t>
  </si>
  <si>
    <t>世間から離れてバーを営み、素材を酒に漬けて静かに暮らすことを掲げる。</t>
  </si>
  <si>
    <t>しがらみから離れた仕事と、酒を楽しむ落ち着き</t>
  </si>
  <si>
    <t>元勇者／中年／正体・活躍を広めない</t>
  </si>
  <si>
    <t>好感度が下がる能力に左右された女性たちと、ずっと側にいる僧侶との関係を中心に紹介する。</t>
  </si>
  <si>
    <t>不利な条件でも選んでくれる相手への愛着と、後悔する周囲との対比</t>
  </si>
  <si>
    <t>寝取られ／追放／誤解／11話からハクスラとのタグ</t>
  </si>
  <si>
    <t>必ず死ぬ役割を変えるため修得と救助を重ねる裏で、助けた亜人たちが国を作っていく。</t>
  </si>
  <si>
    <t>死の運命を変える手応えと、善意が大きな支援となって返る満足</t>
  </si>
  <si>
    <t>ゲーム転生／勘違い／建国は仲間側の活動</t>
  </si>
  <si>
    <t>仲間との性的な協力で強化しながら異世界を旅し、世界に潜む敵との戦いへ進む。</t>
  </si>
  <si>
    <t>奇妙な能力の活用による突破と、親密さ・強化が結びつく楽しさ</t>
  </si>
  <si>
    <t>追放／身体を見る成長条件／コメディ</t>
  </si>
  <si>
    <t>暇な喫茶店のようなギルドを設立したつもりが、人材と依頼が集まり組織が成長する。</t>
  </si>
  <si>
    <t>居心地のよい場が人を惹きつける喜びと、望みを超える繁盛の笑い</t>
  </si>
  <si>
    <t>転生／勘違い／本人と仲間の目標差</t>
  </si>
  <si>
    <t>妹の学費を稼ぐため教師となり、理論で伸び悩む生徒を導き、危険も排除する。</t>
  </si>
  <si>
    <t>教える技量が生徒の成長と家族の生活の両方を支える充足</t>
  </si>
  <si>
    <t>没落令嬢／正体隠し／元最強の魔女／姉妹</t>
  </si>
  <si>
    <t>王宮のさまざまな職場を実際に体験し、行く先の業務で知識と才能を発揮する。</t>
  </si>
  <si>
    <t>現場の仕事を理解して役立つ喜びと、身分を隠した天才への驚き</t>
  </si>
  <si>
    <t>王太子妃／職場体験／報告形式／コメディ</t>
  </si>
  <si>
    <t>各国の要職につく分身の知識と人脈で、戦争・王家の負債・宗教等の国家規模の依頼を扱う。</t>
  </si>
  <si>
    <t>複数分野の権限と知見をつなぎ、難題を動かす満足</t>
  </si>
  <si>
    <t>分身／本体は文官／無自覚の影響力</t>
  </si>
  <si>
    <t>死者を蘇生して住民を増やし、墓場から国を作る一方、女性たちとの認識差と好意が膨らむ。</t>
  </si>
  <si>
    <t>失われた人材が新しい居場所を作る充足と、強く思われる喜び</t>
  </si>
  <si>
    <t>追放／蘇生／勘違い／曇らせ／ヤンデレ</t>
  </si>
  <si>
    <t>偏食の皇女に合う料理を作る男が、彼女と各地の食を楽しむ旅をしながら関係を深める。</t>
  </si>
  <si>
    <t>食で相手を満たして大切にされる喜びと、未知の味への期待</t>
  </si>
  <si>
    <t>料理と戦闘の役割分担／転生／溺愛／過保護</t>
  </si>
  <si>
    <t>危険な地帯を防御能力で踏破し、呪われた皇女を救うことで広く名を知られる。</t>
  </si>
  <si>
    <t>危険が通じない安心と、軽視された防御力の再評価</t>
  </si>
  <si>
    <t>追放／ざまぁ／ダメージ固定／元仲間の苦境</t>
  </si>
  <si>
    <t>強いゲームアバターで転生した男が、予想以上に強い生物のいる未知の世界を歩く。</t>
  </si>
  <si>
    <t>経験や装備でも測れない世界を確かめ、挑む高揚</t>
  </si>
  <si>
    <t>アバター転生／人外／正体隠し／想定との差</t>
  </si>
  <si>
    <t>日本の廃棄物を資源として取り寄せ、歴史知識も使ってWeb版では大陸制覇へ進む。</t>
  </si>
  <si>
    <t>捨てられた物の価値を活かして国力と勢力を増す手応え</t>
  </si>
  <si>
    <t>転生／資源召喚／ハーレム／書籍版とWeb版の違いを明記</t>
  </si>
  <si>
    <t>婚約者と王国から捨てられた男が、弱く見える能力で魔王まで倒し、奪われた立場を逆転する。</t>
  </si>
  <si>
    <t>侮辱を返して主導権を得るカタルシスと、能力の意外な有効性</t>
  </si>
  <si>
    <t>異世界転移／寝取られ／長ネギ生成／魔王化</t>
  </si>
  <si>
    <t>監禁と食事制限で餓死に近づく少女が、命の危険を伴う能力使用で生存と自立を目指す。</t>
  </si>
  <si>
    <t>生かされない環境から自分の選択で抜け出す期待</t>
  </si>
  <si>
    <t>虐待／低魔力／空間能力／令嬢</t>
  </si>
  <si>
    <t>潜入・諜報</t>
  </si>
  <si>
    <t>悪役令嬢が裏で王国の平和を守る活動と、それを知るメイドとの主従関係を掲げる。</t>
  </si>
  <si>
    <t>表の悪評に隠れた行動を知る面白さと、主従の親密さ</t>
  </si>
  <si>
    <t>乙女ゲーム転生／悪役の演技／百合</t>
  </si>
  <si>
    <t>命を狙われた青年が、解呪して救った少女の支援を受け、二人で脅威を越える。</t>
  </si>
  <si>
    <t>助けた相手から助け返される信頼と、迫害を越える力</t>
  </si>
  <si>
    <t>追放／唯一の解呪／強力な支援／純愛</t>
  </si>
  <si>
    <t>あらすじ欄は告知のみ。題名が料理で貧困村を大都市へ変える領地経営を明示するため、その範囲で判定する。</t>
  </si>
  <si>
    <t>食の改善が地域の豊かさへ広がる期待</t>
  </si>
  <si>
    <t>悪役転生／追放／料理スキル／本文展開は未確認</t>
  </si>
  <si>
    <t>題名・キャッチ・タグのみで判定</t>
  </si>
  <si>
    <t>防衛・保護／心のケア・関係の修復</t>
  </si>
  <si>
    <t>敵対する運命にある双子を従者が共に守り、姉妹の不和と周囲との関係を変えていく。</t>
  </si>
  <si>
    <t>どちらも見捨てず支える満足と、修復された関係・信頼</t>
  </si>
  <si>
    <t>聖女と魔女／双子／主従／運命の改変</t>
  </si>
  <si>
    <t>無名の辺境の少年の才能が名門学院で知られ、魔法の歴史と周囲の評価を変えると掲げる。</t>
  </si>
  <si>
    <t>埋もれた才が見いだされ、既存の天才に衝撃を与える満足</t>
  </si>
  <si>
    <t>現地主人公／学園／師の遺言／群像劇</t>
  </si>
  <si>
    <t>紹介文で暫定判定（具体的な活動の説明が少ない）</t>
  </si>
  <si>
    <t>最弱職能から既知の進化先を使って成り上がることを題名に掲げるが、農作業の実施は紹介されない。</t>
  </si>
  <si>
    <t>不利な出発点を知識と成長で覆す期待</t>
  </si>
  <si>
    <t>ゲームに似た世界への転生／農夫は職名／領地経営はタグ情報</t>
  </si>
  <si>
    <t>神の人形・井戸・屋根等を修理して廃村を立て直し、辺境に眠る秘密へ近づく。</t>
  </si>
  <si>
    <t>壊れた物が役立つ姿へ戻り、人の暮らしが蘇る手応え</t>
  </si>
  <si>
    <t>転生技術者／追放／修復能力／魔物にも慕われる</t>
  </si>
  <si>
    <t>三姉妹それぞれの体調と好みに合う朝食を作り、専属料理人として求められる。</t>
  </si>
  <si>
    <t>細やかな仕事が認められ、相手から大切にされる充足</t>
  </si>
  <si>
    <t>田舎出身／職場いじめ／王女／ざまぁ</t>
  </si>
  <si>
    <t>皇位争いを避けたい青年が、命じられた探索と仲間への待遇により逆に功績と支持を集める。</t>
  </si>
  <si>
    <t>望まぬほど評価される可笑しさと、身近な相手から選ばれる充足</t>
  </si>
  <si>
    <t>転生／皇位継承／奴隷との雇用関係／ハーレム</t>
  </si>
  <si>
    <t>奈落から生還した男が裏切った仲間と街を見限り、信じてくれた女性だけを救う。</t>
  </si>
  <si>
    <t>不当な関係の清算と、信頼してくれた相手へ報いる満足</t>
  </si>
  <si>
    <t>追放／婚約破棄／功績の歪曲／支援撤回</t>
  </si>
  <si>
    <t>あらすじは空欄だが、題名で資源を使って強さより生き残ることを優先すると明示している。</t>
  </si>
  <si>
    <t>蓄積した資源を安全へ振り向けて生存する期待</t>
  </si>
  <si>
    <t>クラス転移／善行ポイント／戦争・恋愛はタグ情報</t>
  </si>
  <si>
    <t>攻略知識を誰でも使える手順として無料公開し、新人を強くすると同時に情報独占の利権を崩す。</t>
  </si>
  <si>
    <t>知識を共有して人が助かる充足と、不当な独占が崩れる痛快さ</t>
  </si>
  <si>
    <t>追放／非戦闘／掲示板での情報公開／ざまぁ</t>
  </si>
  <si>
    <t>助けてくれた少女に魔術と剣技を教え、育った竜騎士から強い執着と保護を向けられる。</t>
  </si>
  <si>
    <t>恩返しとして育てた相手の成長と、深い愛情が返る喜び</t>
  </si>
  <si>
    <t>幼竜転生／師弟／ヤンデレ／立場の逆転</t>
  </si>
  <si>
    <t>退職した老騎士が夢だった串焼き屋を開き、屋台を通して街の人々の人生に触れる。</t>
  </si>
  <si>
    <t>第二の人生で好きな仕事を持つ充足と、小さな交流の温かさ</t>
  </si>
  <si>
    <t>高齢主人公／元熟練騎士／退職</t>
  </si>
  <si>
    <t>騙された傭兵が復讐より養われる生活を求める再出発を掲げるが、その実現過程は未紹介。</t>
  </si>
  <si>
    <t>戦いと義務から離れて楽に暮らす期待</t>
  </si>
  <si>
    <t>元傭兵／ヒモ願望／裏切り／勇者の娘はタグ情報</t>
  </si>
  <si>
    <t>家・畑・食事を整えて辺境に隠居した男のもとへ人々が集まり、村の開拓が進む。</t>
  </si>
  <si>
    <t>生活を整える技能が快適さと仲間の居場所を生む充足</t>
  </si>
  <si>
    <t>元雑用係／万能スキル／第三の人生／押しかけ同居</t>
  </si>
  <si>
    <t>代わりの勇者が敗れた後、滅亡へ向かう世界を救うために旅へ出る。</t>
  </si>
  <si>
    <t>望まなかった責任を引き受け、悪化した状況を打開する期待</t>
  </si>
  <si>
    <t>原作主人公への転生／別の転生者／終末化</t>
  </si>
  <si>
    <t>生活費のためVTuberを始め、雑談・歌・ゲームから攻略配信へ活動を広げる。</t>
  </si>
  <si>
    <t>趣味的な活動と実力が人気になる満足、本人と視聴者の認識差</t>
  </si>
  <si>
    <t>帰還勇者／TS／登録棚は異世界だが主舞台は現代</t>
  </si>
  <si>
    <t>出世と大軍の指揮まで経験した男が地位を捨て、自分のための新しい冒険を始める。</t>
  </si>
  <si>
    <t>成功後にも自分の望む過程を選び直せる自由</t>
  </si>
  <si>
    <t>中年／隠れた実力者／戦争と出世は前史</t>
  </si>
  <si>
    <t>生き残るため敵を狩り、その能力を取り込むほど強い相手に狙われ、さらに迎え撃つ。</t>
  </si>
  <si>
    <t>戦闘で得た力が次の強敵を越える手段になる成長の快感</t>
  </si>
  <si>
    <t>魔物転生／捕食による能力強奪／段階的な強敵</t>
  </si>
  <si>
    <t>死の運命を避けるため領地改革に取り組み、人材・事業・軍勢を整えて財政を改善する。</t>
  </si>
  <si>
    <t>個人の戦闘力に頼らず知識と人で困難を越える手応え</t>
  </si>
  <si>
    <t>悪役転生／レベル0固定／家族との協力</t>
  </si>
  <si>
    <t>置き去りにされた深層で魔物との共存により生き延び、自身の魔力0の秘密へ近づく。</t>
  </si>
  <si>
    <t>欠点が生存の利点へ変わる発見と、異質な相手との信頼</t>
  </si>
  <si>
    <t>学園／裏切り／自作ポーション／家族の平穏が最終目標</t>
  </si>
  <si>
    <t>潰れかけのクランを引き継ぎ、召喚したゲームの人物で立て直すうち裏社会の首領になる。</t>
  </si>
  <si>
    <t>残った仲間を報いる再建と、人材によって組織が強くなる満足</t>
  </si>
  <si>
    <t>中年／ゲームキャラ召喚／意図しない出世</t>
  </si>
  <si>
    <t>前世で届かなかった強さを得るため、再び才能のない人生で経験を使い努力を続ける。</t>
  </si>
  <si>
    <t>一度の限界で諦めず、経験を活かして高みへ挑む充足</t>
  </si>
  <si>
    <t>同世界での転生／凡人／前世の失敗</t>
  </si>
  <si>
    <t>全てを失った男が異世界を放浪し、暴力も辞さずその社会の不条理に抗うと掲げる。</t>
  </si>
  <si>
    <t>理不尽への抵抗と、経験に基づく決断の緊張</t>
  </si>
  <si>
    <t>中年／クラス転移への巻き込まれ／息子への復讐は前史</t>
  </si>
  <si>
    <t>まともな寝床・食事・自由を得るため力を求めると同時に、失った倫理を取り戻すと明記する。</t>
  </si>
  <si>
    <t>生活と尊厳の回復、自分や他人への信頼を取り戻す期待</t>
  </si>
  <si>
    <t>スラム／転生／人間不信／探索や名声は目的ではない</t>
  </si>
  <si>
    <t>風魔法を知識で応用して戦い、最下位から冒険者の最高ランクへ上がる。</t>
  </si>
  <si>
    <t>一つの能力の使い方で評価と実力を高める達成感</t>
  </si>
  <si>
    <t>転生／現代の創作知識／風魔法特化</t>
  </si>
  <si>
    <t>死んだと思われていた勇者の帰還後、失いたくない女性たちの執着と関係の変化を中心に据える。</t>
  </si>
  <si>
    <t>必要とされる充足と、失った期間が生んだ感情の重さ</t>
  </si>
  <si>
    <t>帰還の時間差／ヤンデレ／ハーレム／誤解</t>
  </si>
  <si>
    <t>強い男が宇宙船と魔法で活躍することを掲げるが、戦う相手や活動の詳しい説明はない。</t>
  </si>
  <si>
    <t>強さを保ったまま未知の舞台を渡る爽快感への期待</t>
  </si>
  <si>
    <t>喋る宇宙船／中年／登録棚は異世界・宇宙舞台</t>
  </si>
  <si>
    <t>追放された令嬢が襲撃から逃れ、熟練冒険者に護衛を頼んで道中の危険を越える。</t>
  </si>
  <si>
    <t>信頼できる相手に守られながら新天地へ進む安心</t>
  </si>
  <si>
    <t>婚約破棄／濡れ衣／令嬢と中年冒険者</t>
  </si>
  <si>
    <t>時間停止や回復などゲーム的な仕様を実戦で使い、同様の固有能力を使う敵と戦う。</t>
  </si>
  <si>
    <t>能力の使い方を見つけて難敵を突破する快感と、予測不能な挙動の笑い</t>
  </si>
  <si>
    <t>オープンワールド型能力／物理バグ／外れ扱い</t>
  </si>
  <si>
    <t>辺境で自由に錬金術を使い、神霊や神獣と契約するうち国家を超える理想郷を作る。</t>
  </si>
  <si>
    <t>得意な技術を妨げられず発揮し、豊かな拠点と協力者を得る充足</t>
  </si>
  <si>
    <t>追放／無自覚の天才／ハーレム／ざまぁ</t>
  </si>
  <si>
    <t>婚約を断られた女性が付与術師の仕事で王都に自活の基盤を作り、後に恋愛へ進むと紹介する。</t>
  </si>
  <si>
    <t>専門能力で依存から離れ、自分の生活と関係を選ぶ安心</t>
  </si>
  <si>
    <t>転生／婚約解消／仕事の具体工程は未紹介</t>
  </si>
  <si>
    <t>待望の末王子が姉たちに愛されて力を身につけ、将来は王として歴史を動かすと掲げる。</t>
  </si>
  <si>
    <t>家族に歓迎され支えられる充足と、成長が役割につながる期待</t>
  </si>
  <si>
    <t>転生／溺愛／ゴーレムはキャッチ・タグ情報</t>
  </si>
  <si>
    <t>紹介文で判定（成長後の統治は予告範囲）</t>
  </si>
  <si>
    <t>自由に料理できる嫁ぎ先で温かい食事を作り、皇子の心を解かして精霊にも好かれる。</t>
  </si>
  <si>
    <t>好きな仕事が人を満たし、愛情と居場所が返る喜び</t>
  </si>
  <si>
    <t>悪役令嬢転生／婚約破棄／溺愛／ざまぁ</t>
  </si>
  <si>
    <t>作品ベースの分布と判定範囲</t>
  </si>
  <si>
    <t>2026年9月4日取得の週間ランキング200作品｜比較基準：会話で挙げた27系統</t>
  </si>
  <si>
    <t>出典：2026-09-04_action_weekly.csv／2026-09-04_fantasy_weekly.csv。作品紹介は既存の「あらすじ全文」シートでも参照できます。</t>
  </si>
  <si>
    <t>主計は1作品1分類。含む計は主・副いずれかに登場する作品数で、複数のベースに重複計上されます。</t>
  </si>
  <si>
    <t>登録ジャンルを維持して集計。前日から圏外となった6作品と、滞在日数シートだけに残る過去作品は今回の対象に含みません。</t>
  </si>
  <si>
    <t>ベース</t>
  </si>
  <si>
    <t>分類上の扱い</t>
  </si>
  <si>
    <t>現代
主ベース</t>
  </si>
  <si>
    <t>異世界
主ベース</t>
  </si>
  <si>
    <t>主計</t>
  </si>
  <si>
    <t>現代
主・副含む</t>
  </si>
  <si>
    <t>異世界
主・副含む</t>
  </si>
  <si>
    <t>含む計</t>
  </si>
  <si>
    <t>既存27</t>
  </si>
  <si>
    <t>情報不足</t>
  </si>
  <si>
    <t>合計（含む計は重複あり）</t>
  </si>
  <si>
    <t>判定と集計の読み方</t>
  </si>
  <si>
    <t>中心となる活動と、その活動が約束する読者満足から判定。タイトル・キャッチ・タグ・保存済みあらすじ全文を読み、単語の有無だけでは分類していません。</t>
  </si>
  <si>
    <t>主ベースは最も強く提示される中心を1つ選択。副ベースは明確なものを最大2つに限定しており、「含む計」は作品に存在する全要素の網羅率ではありません。</t>
  </si>
  <si>
    <t>追加・拡張候補は5系統。既存27に専用の項目がない活動を可視化する仮分類です。既存ベースの範囲拡張や細分で扱える場合もあり、新しい市場や独立ジャンルの存在を確定するものではありません。</t>
  </si>
  <si>
    <t>配信への偶発的な映り込み、転生、追放、無自覚、勘違い、強い能力は原則として補助要素。継続的な配信活動が中心・副軸として説明される場合のみ配信候補を付けました。</t>
  </si>
  <si>
    <t>「遊びとして冒険する」「報酬で暮らしを豊かにする」は、探索・日常の目的や報酬として扱いました。題材や見せ方が違うだけで、新ベースを増やしていません。</t>
  </si>
  <si>
    <t>3作品は中心活動を決める情報が足りず保留。ほかにも導入だけ・題名とタグのみの判定があり、「判定に使えた情報」列に明記。本文の中心や作品の完成度は未検証です。</t>
  </si>
  <si>
    <t>0作品は今回の紹介情報と主・副の選び方で該当がなかったという意味です。順位・件数から人気の原因や企画の採用適性を断定していません。</t>
  </si>
  <si>
    <t>ベースごとの判定範囲</t>
  </si>
  <si>
    <t>定義と境界</t>
  </si>
  <si>
    <t>敵や脅威を戦って倒すこと。攻略とあっても戦いが報酬の中心ならここ。
暗殺も戦闘方法として扱う。強いという設定だけでは確定しない。</t>
  </si>
  <si>
    <t>試合・大会など、条件のある勝負で力量を競うこと。
ゲーム世界というだけで競技にしない。</t>
  </si>
  <si>
    <t>軍や勢力の戦い、作戦・指揮・陣取りを進めること。
戦場での生存は主目的により生存・脱出を優先。</t>
  </si>
  <si>
    <t>死や破滅の危機を避け、生き延びる・脱出すること。
普通に生きたいという生活願望だけなら日常・共同生活。</t>
  </si>
  <si>
    <t>受けた被害や侮辱を清算し、立場・尊厳を取り戻すこと。
追放・ざまぁのタグだけでは採らない。支援撤回による反転も含む。</t>
  </si>
  <si>
    <t>実力や功績の再評価により、地位・待遇・名声・収入が上がること。
強さそのものより評価や機会の変化が中心の場合。</t>
  </si>
  <si>
    <t>危機にある人を助け、傷病・呪い等から回復させること。
治療・解呪・蘇生も含めた広義の救護。継続防衛、心や関係の回復は追加候補と併記。</t>
  </si>
  <si>
    <t>隠された事情や原因を調べ、真相へ近づくこと。
法廷も真実の検証が中心ならここ。舞台に秘密があるだけでは採らない。</t>
  </si>
  <si>
    <t>表に出ない立場で情報収集・潜入・秘密工作をすること。
身分や能力を隠して暮らすだけの正体隠しは補助要素。</t>
  </si>
  <si>
    <t>契約・条件・利害を調整して相手との合意を作ること。
契約魔法でも、実際に条件や関係を組み替える活動がある場合。</t>
  </si>
  <si>
    <t>商品やサービスの仕入れ・販売・取引で価値と収入を得ること。
買い物だけなら生活充実等の補助要素。店主という職名だけでは採らない。</t>
  </si>
  <si>
    <t>物・資源・実績を集め、価値や必要な物を見極めること。
鑑定を読心や能力把握に使うだけなら道具として扱う。</t>
  </si>
  <si>
    <t>未知の場所へ進み、領域・資源・可能性を見つけること。
冒険者の職名だけでなく、探索を行うとの紹介を根拠にする。</t>
  </si>
  <si>
    <t>道具・建物・製品・設備・技術を作り、改良すること。
料理や既存物の復旧が主なら、食・接客・もてなし／修復・復興を優先。</t>
  </si>
  <si>
    <t>耕作・栽培・農畜産で育て、収穫すること。
農夫という職名だけでは採らない。</t>
  </si>
  <si>
    <t>人・資金・仕事を配置し、企業・店・ギルドなどの組織を動かすこと。
個々の仕事の手際が中心なら専門業務・実務の追加候補。</t>
  </si>
  <si>
    <t>領地・村・国家などの共同体を整え、発展・統治すること。
仲間側が国を作る場合も作品全体の副ベースとして記録。</t>
  </si>
  <si>
    <t>壊れた道具・建物・地域・事業を使える状態に戻すこと。
人間関係の修復は今回の追加候補として区別。</t>
  </si>
  <si>
    <t>練習・鍛錬・研究的な試行で自分の技量を高めること。
修行済みという前史や、戦闘で経験値を得るだけでは自動付与しない。</t>
  </si>
  <si>
    <t>知識や技術を教え、他者・相棒の能力を育てること。
教材や手順の公開も含む。成長魔法という名前だけでは採らない。</t>
  </si>
  <si>
    <t>旅をして土地・文化・暮らしの違いに触れ、交流すること。
異世界への移動が導入にあるだけでは採らない。</t>
  </si>
  <si>
    <t>動物・魔物・精霊などと理解や信頼を深め、共に生きること。
召喚して攻撃させるだけでは採らない。</t>
  </si>
  <si>
    <t>家族を養う・育てる・支える等、家族の関係と生活を中心にすること。
身内が登場するだけでなく、その関係への継続的な行動を確認。</t>
  </si>
  <si>
    <t>恋愛・婚姻・親密な関係の獲得や変化を楽しませること。
ハーレムは関係が中心のときに採る。婚約破棄が導入だけなら別分類。</t>
  </si>
  <si>
    <t>衣食住・仕事・人付き合いを整え、望む日常や共同生活を送ること。
生活充実・自立・隠居も含む。のんびりという語だけでなく実際の約束を確認。</t>
  </si>
  <si>
    <t>料理を作る・味わう・ふるまう、客を迎えて喜ばせること。
食品製造も味・食卓・客の反応が中心ならここ。製法開発中心ならものづくり。</t>
  </si>
  <si>
    <t>歌・演奏・絵・創作など、表現を行い届けること。
雑談や攻略の配信活動全般は、配信・視聴者交流という拡張候補で区別。</t>
  </si>
  <si>
    <t>配信を継続し、企画・視聴者とのやり取り・活動の拡大を楽しませること。
隣接：芸能・表現、成り上がり。芸能・表現の範囲拡張でも扱える。一度の映り込みは補助要素。</t>
  </si>
  <si>
    <t>解体・清掃・運搬・事務・支援業務等をこなし、技能を働く場で役立てること。
隣接：ものづくり、経営。製造や組織管理に当たらない現場業務を補う。料理・救助等に収まる仕事は既存を優先。</t>
  </si>
  <si>
    <t>人や居場所の安全を継続的に維持し、危機を近づけないこと。
隣接：救出・救護、戦争・指揮。救出・救護を予防的な保護まで広げる方法もある。</t>
  </si>
  <si>
    <t>社会の搾取・不正・不条理を排除し、特定の私怨を越えて正そうとすること。
隣接：復讐・雪辱、統治。個人への報復との差を記録する細分候補。</t>
  </si>
  <si>
    <t>喪失や未練を抱えた人を支え、切れた家族等のつながりを回復すること。
隣接：救出・救護、修復・復興、家族。心理・関係面の救済として既存を広げる方法もある。</t>
  </si>
  <si>
    <t>紹介情報から中心になる活動を特定できない。
既存27外と判明したという意味ではない。本文等の追加情報が必要。</t>
  </si>
</sst>
</file>

<file path=xl/styles.xml><?xml version="1.0" encoding="utf-8"?>
<ns0:styleSheet xmlns:ns0="http://schemas.openxmlformats.org/spreadsheetml/2006/main" xmlns:ns1="http://schemas.openxmlformats.org/markup-compatibility/2006" xmlns:ns2="http://schemas.microsoft.com/office/spreadsheetml/2009/9/main" xmlns:ns3="http://schemas.microsoft.com/office/spreadsheetml/2010/11/main" xmlns:x14ac="http://schemas.microsoft.com/office/spreadsheetml/2009/9/ac" xmlns:x16r2="http://schemas.microsoft.com/office/spreadsheetml/2015/02/main" xmlns:xr="http://schemas.microsoft.com/office/spreadsheetml/2014/revision" ns1:Ignorable="x14ac x16r2 xr">
  <ns0:numFmts count="1">
    <ns0:numFmt numFmtId="164" formatCode="@"/>
  </ns0:numFmts>
  <ns0:fonts count="26">
    <ns0:font>
      <ns0:sz val="11"/>
      <ns0:color theme="1"/>
      <ns0:name val="ＭＳ Ｐゴシック"/>
      <ns0:family val="2"/>
      <ns0:scheme val="minor"/>
    </ns0:font>
    <ns0:font>
      <ns0:b/>
      <ns0:sz val="11"/>
      <ns0:name val="ＭＳ Ｐゴシック"/>
      <ns0:family val="2"/>
      <ns0:charset val="128"/>
    </ns0:font>
    <ns0:font>
      <ns0:sz val="11"/>
      <ns0:color rgb="FF263748"/>
      <ns0:name val="Yu Gothic"/>
      <ns0:family val="2"/>
      <ns0:charset val="128"/>
    </ns0:font>
    <ns0:font>
      <ns0:b/>
      <ns0:sz val="17"/>
      <ns0:color rgb="FFFFFFFF"/>
      <ns0:name val="Yu Gothic"/>
      <ns0:family val="2"/>
      <ns0:charset val="128"/>
    </ns0:font>
    <ns0:font>
      <ns0:sz val="10"/>
      <ns0:color rgb="FF14668C"/>
      <ns0:name val="Yu Gothic"/>
      <ns0:family val="2"/>
      <ns0:charset val="128"/>
    </ns0:font>
    <ns0:font>
      <ns0:b/>
      <ns0:sz val="11"/>
      <ns0:color rgb="FF0B6D73"/>
      <ns0:name val="Yu Gothic"/>
      <ns0:family val="2"/>
      <ns0:charset val="128"/>
    </ns0:font>
    <ns0:font>
      <ns0:sz val="10"/>
      <ns0:color rgb="FF556675"/>
      <ns0:name val="Yu Gothic"/>
      <ns0:family val="2"/>
      <ns0:charset val="128"/>
    </ns0:font>
    <ns0:font>
      <ns0:b/>
      <ns0:sz val="11"/>
      <ns0:color rgb="FFFFFFFF"/>
      <ns0:name val="Yu Gothic"/>
      <ns0:family val="2"/>
      <ns0:charset val="128"/>
    </ns0:font>
    <ns0:font>
      <ns0:b/>
      <ns0:sz val="12"/>
      <ns0:color rgb="FF0B6D73"/>
      <ns0:name val="Yu Gothic"/>
      <ns0:family val="2"/>
      <ns0:charset val="128"/>
    </ns0:font>
    <ns0:font>
      <ns0:b/>
      <ns0:sz val="11"/>
      <ns0:color rgb="FF263748"/>
      <ns0:name val="Yu Gothic"/>
      <ns0:family val="2"/>
      <ns0:charset val="128"/>
    </ns0:font>
    <ns0:font>
      <ns0:sz val="6"/>
      <ns0:name val="ＭＳ Ｐゴシック"/>
      <ns0:family val="3"/>
      <ns0:charset val="128"/>
      <ns0:scheme val="minor"/>
    </ns0:font>
    <ns0:font>
      <ns0:sz val="11"/>
      <ns0:color theme="1"/>
      <ns0:name val="ＭＳ Ｐゴシック"/>
    </ns0:font>
    <ns0:font>
      <ns0:b/>
      <ns0:sz val="11"/>
      <ns0:name val="ＭＳ Ｐゴシック"/>
    </ns0:font>
    <ns0:font>
      <ns0:sz val="11"/>
      <ns0:color rgb="FF263748"/>
      <ns0:name val="Yu Gothic"/>
    </ns0:font>
    <ns0:font>
      <ns0:b/>
      <ns0:sz val="17"/>
      <ns0:color rgb="FFFFFFFF"/>
      <ns0:name val="Yu Gothic"/>
    </ns0:font>
    <ns0:font>
      <ns0:sz val="10"/>
      <ns0:color rgb="FF14668C"/>
      <ns0:name val="Yu Gothic"/>
    </ns0:font>
    <ns0:font>
      <ns0:b/>
      <ns0:sz val="11"/>
      <ns0:color rgb="FF0B6D73"/>
      <ns0:name val="Yu Gothic"/>
    </ns0:font>
    <ns0:font>
      <ns0:sz val="10"/>
      <ns0:color rgb="FF556675"/>
      <ns0:name val="Yu Gothic"/>
    </ns0:font>
    <ns0:font>
      <ns0:b/>
      <ns0:sz val="11"/>
      <ns0:color rgb="FFFFFFFF"/>
      <ns0:name val="Yu Gothic"/>
    </ns0:font>
    <ns0:font>
      <ns0:b/>
      <ns0:sz val="12"/>
      <ns0:color rgb="FF0B6D73"/>
      <ns0:name val="Yu Gothic"/>
    </ns0:font>
    <ns0:font>
      <ns0:b/>
      <ns0:sz val="11"/>
      <ns0:color rgb="FF263748"/>
      <ns0:name val="Yu Gothic"/>
    </ns0:font>
    <ns0:font>
      <ns0:sz val="6"/>
      <ns0:name val="ＭＳ Ｐゴシック"/>
    </ns0:font>
    <ns0:font>
      <ns0:sz val="11"/>
      <ns0:color rgb="FF263748"/>
      <ns0:name val="Yu Gothic"/>
    </ns0:font>
    <ns0:font>
      <ns0:b/>
      <ns0:sz val="15"/>
      <ns0:color rgb="FFFFFFFF"/>
      <ns0:name val="Yu Gothic"/>
    </ns0:font>
    <ns0:font>
      <ns0:b/>
      <ns0:sz val="12"/>
      <ns0:color rgb="FFFFFFFF"/>
      <ns0:name val="Yu Gothic"/>
    </ns0:font>
    <ns0:font>
      <ns0:sz val="10"/>
      <ns0:color rgb="FF14668C"/>
      <ns0:name val="Yu Gothic"/>
    </ns0:font>
  </ns0:fonts>
  <ns0:fills count="21">
    <ns0:fill>
      <ns0:patternFill patternType="none"/>
    </ns0:fill>
    <ns0:fill>
      <ns0:patternFill patternType="gray125"/>
    </ns0:fill>
    <ns0:fill>
      <ns0:patternFill patternType="none"/>
    </ns0:fill>
    <ns0:fill>
      <ns0:patternFill patternType="solid">
        <ns0:fgColor rgb="FF203B56"/>
      </ns0:patternFill>
    </ns0:fill>
    <ns0:fill>
      <ns0:patternFill patternType="solid">
        <ns0:fgColor rgb="FFFFF1D6"/>
      </ns0:patternFill>
    </ns0:fill>
    <ns0:fill>
      <ns0:patternFill patternType="solid">
        <ns0:fgColor rgb="FFFBE9E7"/>
      </ns0:patternFill>
    </ns0:fill>
    <ns0:fill>
      <ns0:patternFill patternType="solid">
        <ns0:fgColor rgb="FFEEF4F8"/>
      </ns0:patternFill>
    </ns0:fill>
    <ns0:fill>
      <ns0:patternFill patternType="solid">
        <ns0:fgColor rgb="FFFFFFFF"/>
      </ns0:patternFill>
    </ns0:fill>
    <ns0:fill>
      <ns0:patternFill patternType="solid">
        <ns0:fgColor rgb="FF0B6D73"/>
      </ns0:patternFill>
    </ns0:fill>
    <ns0:fill>
      <ns0:patternFill patternType="none"/>
    </ns0:fill>
    <ns0:fill>
      <ns0:patternFill patternType="gray125"/>
    </ns0:fill>
    <ns0:fill>
      <ns0:patternFill patternType="none"/>
    </ns0:fill>
    <ns0:fill>
      <ns0:patternFill patternType="solid">
        <ns0:fgColor rgb="FF203B56"/>
      </ns0:patternFill>
    </ns0:fill>
    <ns0:fill>
      <ns0:patternFill patternType="solid">
        <ns0:fgColor rgb="FFFFF1D6"/>
      </ns0:patternFill>
    </ns0:fill>
    <ns0:fill>
      <ns0:patternFill patternType="solid">
        <ns0:fgColor rgb="FFFBE9E7"/>
      </ns0:patternFill>
    </ns0:fill>
    <ns0:fill>
      <ns0:patternFill patternType="solid">
        <ns0:fgColor rgb="FFEEF4F8"/>
      </ns0:patternFill>
    </ns0:fill>
    <ns0:fill>
      <ns0:patternFill patternType="solid">
        <ns0:fgColor rgb="FFFFFFFF"/>
      </ns0:patternFill>
    </ns0:fill>
    <ns0:fill>
      <ns0:patternFill patternType="solid">
        <ns0:fgColor rgb="FF0B6D73"/>
      </ns0:patternFill>
    </ns0:fill>
    <ns0:fill>
      <ns0:patternFill patternType="solid">
        <ns0:fgColor rgb="FFFFFFFF"/>
      </ns0:patternFill>
    </ns0:fill>
    <ns0:fill>
      <ns0:patternFill patternType="solid">
        <ns0:fgColor rgb="FF203B56"/>
      </ns0:patternFill>
    </ns0:fill>
    <ns0:fill>
      <ns0:patternFill patternType="solid">
        <ns0:fgColor rgb="FFEEF4F8"/>
      </ns0:patternFill>
    </ns0:fill>
  </ns0:fills>
  <ns0:borders count="6">
    <ns0:border>
      <ns0:left/>
      <ns0:right/>
      <ns0:top/>
      <ns0:bottom/>
      <ns0:diagonal/>
    </ns0:border>
    <ns0:border>
      <ns0:left style="thin">
        <ns0:color auto="1"/>
      </ns0:left>
      <ns0:right style="thin">
        <ns0:color auto="1"/>
      </ns0:right>
      <ns0:top style="thin">
        <ns0:color auto="1"/>
      </ns0:top>
      <ns0:bottom style="thin">
        <ns0:color auto="1"/>
      </ns0:bottom>
      <ns0:diagonal/>
    </ns0:border>
    <ns0:border>
      <ns0:left/>
      <ns0:right/>
      <ns0:top/>
      <ns0:bottom/>
      <ns0:diagonal/>
    </ns0:border>
    <ns0:border/>
    <ns0:border>
      <ns0:left style="thin">
        <ns0:color auto="1"/>
      </ns0:left>
      <ns0:right style="thin">
        <ns0:color auto="1"/>
      </ns0:right>
      <ns0:top style="thin">
        <ns0:color auto="1"/>
      </ns0:top>
      <ns0:bottom style="thin">
        <ns0:color auto="1"/>
      </ns0:bottom>
    </ns0:border>
    <ns0:border/>
  </ns0:borders>
  <ns0:cellStyleXfs count="4">
    <ns0:xf numFmtId="0" fontId="0" fillId="0" borderId="0"/>
    <ns0:xf numFmtId="0" fontId="3" fillId="3" borderId="2" xfId="0" applyFont="1" applyFill="1" applyBorder="1" applyAlignment="1">
      <ns0:alignment vertical="center" wrapText="1"/>
    </ns0:xf>
    <ns0:xf numFmtId="0" fontId="11" fillId="9" borderId="3"/>
    <ns0:xf numFmtId="0" fontId="14" fillId="12" borderId="5" xfId="0" applyFont="1" applyFill="1" applyBorder="1" applyAlignment="1">
      <ns0:alignment vertical="center" wrapText="1"/>
    </ns0:xf>
  </ns0:cellStyleXfs>
  <ns0:cellXfs count="92">
    <ns0:xf numFmtId="0" fontId="0" fillId="0" borderId="0" xfId="0"/>
    <ns0:xf numFmtId="0" fontId="1" fillId="0" borderId="1" xfId="0" applyFont="1" applyBorder="1" applyAlignment="1">
      <ns0:alignment horizontal="center" vertical="top"/>
    </ns0:xf>
    <ns0:xf numFmtId="0" fontId="2" fillId="2" borderId="2" xfId="1" applyFont="1" applyAlignment="1">
      <ns0:alignment vertical="top" wrapText="1"/>
    </ns0:xf>
    <ns0:xf numFmtId="0" fontId="2" fillId="2" borderId="2" xfId="1" applyFont="1" applyAlignment="1">
      <ns0:alignment vertical="center" wrapText="1"/>
    </ns0:xf>
    <ns0:xf numFmtId="1" fontId="2" fillId="2" borderId="2" xfId="1" applyNumberFormat="1" applyFont="1" applyAlignment="1">
      <ns0:alignment vertical="top" wrapText="1"/>
    </ns0:xf>
    <ns0:xf numFmtId="49" fontId="4" fillId="2" borderId="2" xfId="1" applyNumberFormat="1" applyFont="1" applyAlignment="1">
      <ns0:alignment vertical="top" wrapText="1"/>
    </ns0:xf>
    <ns0:xf numFmtId="0" fontId="5" fillId="2" borderId="2" xfId="1" applyFont="1" applyAlignment="1">
      <ns0:alignment vertical="top" wrapText="1"/>
    </ns0:xf>
    <ns0:xf numFmtId="49" fontId="6" fillId="2" borderId="2" xfId="1" applyNumberFormat="1" applyFont="1" applyAlignment="1">
      <ns0:alignment vertical="top" wrapText="1"/>
    </ns0:xf>
    <ns0:xf numFmtId="0" fontId="7" fillId="3" borderId="2" xfId="1" applyFont="1" applyFill="1" applyAlignment="1">
      <ns0:alignment vertical="center" wrapText="1"/>
    </ns0:xf>
    <ns0:xf numFmtId="0" fontId="2" fillId="4" borderId="2" xfId="1" applyFont="1" applyFill="1" applyAlignment="1">
      <ns0:alignment vertical="top" wrapText="1"/>
    </ns0:xf>
    <ns0:xf numFmtId="0" fontId="5" fillId="5" borderId="2" xfId="1" applyFont="1" applyFill="1" applyAlignment="1">
      <ns0:alignment vertical="top" wrapText="1"/>
    </ns0:xf>
    <ns0:xf numFmtId="0" fontId="2" fillId="5" borderId="2" xfId="1" applyFont="1" applyFill="1" applyAlignment="1">
      <ns0:alignment vertical="top" wrapText="1"/>
    </ns0:xf>
    <ns0:xf numFmtId="0" fontId="2" fillId="6" borderId="2" xfId="1" applyFont="1" applyFill="1" applyAlignment="1">
      <ns0:alignment vertical="center" wrapText="1"/>
    </ns0:xf>
    <ns0:xf numFmtId="1" fontId="2" fillId="2" borderId="2" xfId="1" applyNumberFormat="1" applyFont="1" applyAlignment="1">
      <ns0:alignment horizontal="center" vertical="center" wrapText="1"/>
    </ns0:xf>
    <ns0:xf numFmtId="1" fontId="2" fillId="6" borderId="2" xfId="1" applyNumberFormat="1" applyFont="1" applyFill="1" applyAlignment="1">
      <ns0:alignment horizontal="center" vertical="center" wrapText="1"/>
    </ns0:xf>
    <ns0:xf numFmtId="0" fontId="2" fillId="4" borderId="2" xfId="1" applyFont="1" applyFill="1" applyAlignment="1">
      <ns0:alignment vertical="center" wrapText="1"/>
    </ns0:xf>
    <ns0:xf numFmtId="1" fontId="2" fillId="4" borderId="2" xfId="1" applyNumberFormat="1" applyFont="1" applyFill="1" applyAlignment="1">
      <ns0:alignment horizontal="center" vertical="center" wrapText="1"/>
    </ns0:xf>
    <ns0:xf numFmtId="0" fontId="2" fillId="5" borderId="2" xfId="1" applyFont="1" applyFill="1" applyAlignment="1">
      <ns0:alignment vertical="center" wrapText="1"/>
    </ns0:xf>
    <ns0:xf numFmtId="1" fontId="2" fillId="5" borderId="2" xfId="1" applyNumberFormat="1" applyFont="1" applyFill="1" applyAlignment="1">
      <ns0:alignment horizontal="center" vertical="center" wrapText="1"/>
    </ns0:xf>
    <ns0:xf numFmtId="1" fontId="7" fillId="3" borderId="2" xfId="1" applyNumberFormat="1" applyFont="1" applyFill="1" applyAlignment="1">
      <ns0:alignment horizontal="center" vertical="center" wrapText="1"/>
    </ns0:xf>
    <ns0:xf numFmtId="0" fontId="3" fillId="3" borderId="2" xfId="1" applyFont="1" applyFill="1" applyAlignment="1">
      <ns0:alignment vertical="center" wrapText="1"/>
    </ns0:xf>
    <ns0:xf numFmtId="0" fontId="2" fillId="2" borderId="2" xfId="1" applyFont="1" applyFill="1" applyAlignment="1">
      <ns0:alignment vertical="center" wrapText="1"/>
    </ns0:xf>
    <ns0:xf numFmtId="0" fontId="8" fillId="6" borderId="2" xfId="1" applyFont="1" applyFill="1" applyAlignment="1">
      <ns0:alignment vertical="center" wrapText="1"/>
    </ns0:xf>
    <ns0:xf numFmtId="0" fontId="7" fillId="3" borderId="2" xfId="1" applyFont="1" applyFill="1" applyAlignment="1">
      <ns0:alignment vertical="center" wrapText="1"/>
    </ns0:xf>
    <ns0:xf numFmtId="0" fontId="2" fillId="7" borderId="2" xfId="1" applyFont="1" applyFill="1" applyAlignment="1">
      <ns0:alignment vertical="center" wrapText="1"/>
    </ns0:xf>
    <ns0:xf numFmtId="0" fontId="2" fillId="6" borderId="2" xfId="1" applyFont="1" applyFill="1" applyAlignment="1">
      <ns0:alignment vertical="center" wrapText="1"/>
    </ns0:xf>
    <ns0:xf numFmtId="0" fontId="7" fillId="8" borderId="2" xfId="1" applyFont="1" applyFill="1" applyAlignment="1">
      <ns0:alignment vertical="center" wrapText="1"/>
    </ns0:xf>
    <ns0:xf numFmtId="0" fontId="9" fillId="6" borderId="2" xfId="1" applyFont="1" applyFill="1" applyAlignment="1">
      <ns0:alignment vertical="center" wrapText="1"/>
    </ns0:xf>
    <ns0:xf numFmtId="0" fontId="9" fillId="4" borderId="2" xfId="1" applyFont="1" applyFill="1" applyAlignment="1">
      <ns0:alignment vertical="center" wrapText="1"/>
    </ns0:xf>
    <ns0:xf numFmtId="0" fontId="11" fillId="9" borderId="3" xfId="2"/>
    <ns0:xf numFmtId="0" fontId="12" fillId="9" borderId="4" xfId="2" applyFont="1" applyBorder="1" applyAlignment="1">
      <ns0:alignment horizontal="center" vertical="top"/>
    </ns0:xf>
    <ns0:xf numFmtId="0" fontId="13" fillId="11" borderId="5" xfId="3" applyFont="1" applyAlignment="1">
      <ns0:alignment vertical="top" wrapText="1"/>
    </ns0:xf>
    <ns0:xf numFmtId="0" fontId="13" fillId="11" borderId="5" xfId="3" applyFont="1" applyAlignment="1">
      <ns0:alignment vertical="center" wrapText="1"/>
    </ns0:xf>
    <ns0:xf numFmtId="1" fontId="13" fillId="11" borderId="5" xfId="3" applyNumberFormat="1" applyFont="1" applyAlignment="1">
      <ns0:alignment vertical="top" wrapText="1"/>
    </ns0:xf>
    <ns0:xf numFmtId="49" fontId="15" fillId="11" borderId="5" xfId="3" applyNumberFormat="1" applyFont="1" applyAlignment="1">
      <ns0:alignment vertical="top" wrapText="1"/>
    </ns0:xf>
    <ns0:xf numFmtId="0" fontId="16" fillId="11" borderId="5" xfId="3" applyFont="1" applyAlignment="1">
      <ns0:alignment vertical="top" wrapText="1"/>
    </ns0:xf>
    <ns0:xf numFmtId="49" fontId="17" fillId="11" borderId="5" xfId="3" applyNumberFormat="1" applyFont="1" applyAlignment="1">
      <ns0:alignment vertical="top" wrapText="1"/>
    </ns0:xf>
    <ns0:xf numFmtId="0" fontId="18" fillId="12" borderId="5" xfId="3" applyFont="1" applyFill="1" applyAlignment="1">
      <ns0:alignment vertical="center" wrapText="1"/>
    </ns0:xf>
    <ns0:xf numFmtId="0" fontId="13" fillId="13" borderId="5" xfId="3" applyFont="1" applyFill="1" applyAlignment="1">
      <ns0:alignment vertical="top" wrapText="1"/>
    </ns0:xf>
    <ns0:xf numFmtId="0" fontId="16" fillId="14" borderId="5" xfId="3" applyFont="1" applyFill="1" applyAlignment="1">
      <ns0:alignment vertical="top" wrapText="1"/>
    </ns0:xf>
    <ns0:xf numFmtId="0" fontId="13" fillId="14" borderId="5" xfId="3" applyFont="1" applyFill="1" applyAlignment="1">
      <ns0:alignment vertical="top" wrapText="1"/>
    </ns0:xf>
    <ns0:xf numFmtId="0" fontId="13" fillId="15" borderId="5" xfId="3" applyFont="1" applyFill="1" applyAlignment="1">
      <ns0:alignment vertical="center" wrapText="1"/>
    </ns0:xf>
    <ns0:xf numFmtId="1" fontId="13" fillId="11" borderId="5" xfId="3" applyNumberFormat="1" applyFont="1" applyAlignment="1">
      <ns0:alignment horizontal="center" vertical="center" wrapText="1"/>
    </ns0:xf>
    <ns0:xf numFmtId="1" fontId="13" fillId="15" borderId="5" xfId="3" applyNumberFormat="1" applyFont="1" applyFill="1" applyAlignment="1">
      <ns0:alignment horizontal="center" vertical="center" wrapText="1"/>
    </ns0:xf>
    <ns0:xf numFmtId="0" fontId="13" fillId="13" borderId="5" xfId="3" applyFont="1" applyFill="1" applyAlignment="1">
      <ns0:alignment vertical="center" wrapText="1"/>
    </ns0:xf>
    <ns0:xf numFmtId="1" fontId="13" fillId="13" borderId="5" xfId="3" applyNumberFormat="1" applyFont="1" applyFill="1" applyAlignment="1">
      <ns0:alignment horizontal="center" vertical="center" wrapText="1"/>
    </ns0:xf>
    <ns0:xf numFmtId="0" fontId="13" fillId="14" borderId="5" xfId="3" applyFont="1" applyFill="1" applyAlignment="1">
      <ns0:alignment vertical="center" wrapText="1"/>
    </ns0:xf>
    <ns0:xf numFmtId="1" fontId="13" fillId="14" borderId="5" xfId="3" applyNumberFormat="1" applyFont="1" applyFill="1" applyAlignment="1">
      <ns0:alignment horizontal="center" vertical="center" wrapText="1"/>
    </ns0:xf>
    <ns0:xf numFmtId="1" fontId="18" fillId="12" borderId="5" xfId="3" applyNumberFormat="1" applyFont="1" applyFill="1" applyAlignment="1">
      <ns0:alignment horizontal="center" vertical="center" wrapText="1"/>
    </ns0:xf>
    <ns0:xf numFmtId="0" fontId="14" fillId="12" borderId="5" xfId="3" applyFont="1" applyFill="1" applyAlignment="1">
      <ns0:alignment vertical="center" wrapText="1"/>
    </ns0:xf>
    <ns0:xf numFmtId="0" fontId="13" fillId="11" borderId="5" xfId="3" applyFont="1" applyFill="1" applyAlignment="1">
      <ns0:alignment vertical="center" wrapText="1"/>
    </ns0:xf>
    <ns0:xf numFmtId="0" fontId="19" fillId="15" borderId="5" xfId="3" applyFont="1" applyFill="1" applyAlignment="1">
      <ns0:alignment vertical="center" wrapText="1"/>
    </ns0:xf>
    <ns0:xf numFmtId="0" fontId="18" fillId="12" borderId="5" xfId="3" applyFont="1" applyFill="1" applyAlignment="1">
      <ns0:alignment vertical="center" wrapText="1"/>
    </ns0:xf>
    <ns0:xf numFmtId="0" fontId="13" fillId="16" borderId="5" xfId="3" applyFont="1" applyFill="1" applyAlignment="1">
      <ns0:alignment vertical="center" wrapText="1"/>
    </ns0:xf>
    <ns0:xf numFmtId="0" fontId="13" fillId="15" borderId="5" xfId="3" applyFont="1" applyFill="1" applyAlignment="1">
      <ns0:alignment vertical="center" wrapText="1"/>
    </ns0:xf>
    <ns0:xf numFmtId="0" fontId="18" fillId="17" borderId="5" xfId="3" applyFont="1" applyFill="1" applyAlignment="1">
      <ns0:alignment vertical="center" wrapText="1"/>
    </ns0:xf>
    <ns0:xf numFmtId="0" fontId="20" fillId="15" borderId="5" xfId="3" applyFont="1" applyFill="1" applyAlignment="1">
      <ns0:alignment vertical="center" wrapText="1"/>
    </ns0:xf>
    <ns0:xf numFmtId="0" fontId="20" fillId="13" borderId="5" xfId="3" applyFont="1" applyFill="1" applyAlignment="1">
      <ns0:alignment vertical="center" wrapText="1"/>
    </ns0:xf>
    <ns0:xf numFmtId="0" fontId="11" fillId="18" borderId="3" xfId="2" applyNumberFormat="1" applyFont="1" applyFill="1" applyBorder="1"/>
    <ns0:xf numFmtId="0" fontId="13" fillId="18" borderId="3" xfId="2" applyNumberFormat="1" applyFont="1" applyFill="1" applyBorder="1"/>
    <ns0:xf numFmtId="0" fontId="13" fillId="18" borderId="3" xfId="2" applyNumberFormat="1" applyFont="1" applyFill="1" applyBorder="1" applyAlignment="1">
      <ns0:alignment wrapText="1"/>
    </ns0:xf>
    <ns0:xf numFmtId="0" fontId="13" fillId="18" borderId="3" xfId="2" applyNumberFormat="1" applyFont="1" applyFill="1" applyBorder="1" applyAlignment="1">
      <ns0:alignment vertical="top" wrapText="1"/>
    </ns0:xf>
    <ns0:xf numFmtId="0" fontId="13" fillId="19" borderId="3" xfId="2" applyNumberFormat="1" applyFont="1" applyFill="1" applyBorder="1" applyAlignment="1">
      <ns0:alignment vertical="top" wrapText="1"/>
    </ns0:xf>
    <ns0:xf numFmtId="0" fontId="14" fillId="19" borderId="3" xfId="2" applyNumberFormat="1" applyFont="1" applyFill="1" applyBorder="1" applyAlignment="1">
      <ns0:alignment vertical="top" wrapText="1"/>
    </ns0:xf>
    <ns0:xf numFmtId="0" fontId="14" fillId="19" borderId="3" xfId="2" applyNumberFormat="1" applyFont="1" applyFill="1" applyBorder="1" applyAlignment="1">
      <ns0:alignment vertical="center" wrapText="1"/>
    </ns0:xf>
    <ns0:xf numFmtId="0" fontId="22" fillId="18" borderId="3" xfId="2" applyNumberFormat="1" applyFont="1" applyFill="1" applyBorder="1" applyAlignment="1">
      <ns0:alignment vertical="top" wrapText="1"/>
    </ns0:xf>
    <ns0:xf numFmtId="0" fontId="22" fillId="18" borderId="3" xfId="2" applyNumberFormat="1" applyFont="1" applyFill="1" applyBorder="1" applyAlignment="1">
      <ns0:alignment vertical="center" wrapText="1"/>
    </ns0:xf>
    <ns0:xf numFmtId="0" fontId="18" fillId="19" borderId="3" xfId="2" applyNumberFormat="1" applyFont="1" applyFill="1" applyBorder="1" applyAlignment="1">
      <ns0:alignment vertical="top" wrapText="1"/>
    </ns0:xf>
    <ns0:xf numFmtId="0" fontId="18" fillId="19" borderId="3" xfId="2" applyNumberFormat="1" applyFont="1" applyFill="1" applyBorder="1" applyAlignment="1">
      <ns0:alignment vertical="center" wrapText="1"/>
    </ns0:xf>
    <ns0:xf numFmtId="164" fontId="13" fillId="18" borderId="3" xfId="2" applyNumberFormat="1" applyFont="1" applyFill="1" applyBorder="1" applyAlignment="1">
      <ns0:alignment vertical="top" wrapText="1"/>
    </ns0:xf>
    <ns0:xf numFmtId="164" fontId="16" fillId="18" borderId="3" xfId="2" applyNumberFormat="1" applyFont="1" applyFill="1" applyBorder="1" applyAlignment="1">
      <ns0:alignment vertical="top" wrapText="1"/>
    </ns0:xf>
    <ns0:xf numFmtId="164" fontId="17" fillId="18" borderId="3" xfId="2" applyNumberFormat="1" applyFont="1" applyFill="1" applyBorder="1" applyAlignment="1">
      <ns0:alignment vertical="top" wrapText="1"/>
    </ns0:xf>
    <ns0:xf numFmtId="164" fontId="13" fillId="20" borderId="3" xfId="2" applyNumberFormat="1" applyFont="1" applyFill="1" applyBorder="1" applyAlignment="1">
      <ns0:alignment vertical="top" wrapText="1"/>
    </ns0:xf>
    <ns0:xf numFmtId="164" fontId="16" fillId="20" borderId="3" xfId="2" applyNumberFormat="1" applyFont="1" applyFill="1" applyBorder="1" applyAlignment="1">
      <ns0:alignment vertical="top" wrapText="1"/>
    </ns0:xf>
    <ns0:xf numFmtId="164" fontId="17" fillId="20" borderId="3" xfId="2" applyNumberFormat="1" applyFont="1" applyFill="1" applyBorder="1" applyAlignment="1">
      <ns0:alignment vertical="top" wrapText="1"/>
    </ns0:xf>
    <ns0:xf numFmtId="0" fontId="11" fillId="19" borderId="3" xfId="2" applyNumberFormat="1" applyFont="1" applyFill="1" applyBorder="1"/>
    <ns0:xf numFmtId="0" fontId="23" fillId="19" borderId="3" xfId="2" applyNumberFormat="1" applyFont="1" applyFill="1" applyBorder="1"/>
    <ns0:xf numFmtId="0" fontId="23" fillId="19" borderId="3" xfId="2" applyNumberFormat="1" applyFont="1" applyFill="1" applyBorder="1" applyAlignment="1">
      <ns0:alignment wrapText="1"/>
    </ns0:xf>
    <ns0:xf numFmtId="0" fontId="23" fillId="19" borderId="3" xfId="2" applyNumberFormat="1" applyFont="1" applyFill="1" applyBorder="1" applyAlignment="1">
      <ns0:alignment vertical="center" wrapText="1"/>
    </ns0:xf>
    <ns0:xf numFmtId="0" fontId="22" fillId="18" borderId="3" xfId="2" applyNumberFormat="1" applyFont="1" applyFill="1" applyBorder="1"/>
    <ns0:xf numFmtId="0" fontId="22" fillId="18" borderId="3" xfId="2" applyNumberFormat="1" applyFont="1" applyFill="1" applyBorder="1" applyAlignment="1">
      <ns0:alignment wrapText="1"/>
    </ns0:xf>
    <ns0:xf numFmtId="0" fontId="11" fillId="20" borderId="3" xfId="2" applyNumberFormat="1" applyFont="1" applyFill="1" applyBorder="1"/>
    <ns0:xf numFmtId="0" fontId="22" fillId="20" borderId="3" xfId="2" applyNumberFormat="1" applyFont="1" applyFill="1" applyBorder="1"/>
    <ns0:xf numFmtId="0" fontId="22" fillId="20" borderId="3" xfId="2" applyNumberFormat="1" applyFont="1" applyFill="1" applyBorder="1" applyAlignment="1">
      <ns0:alignment wrapText="1"/>
    </ns0:xf>
    <ns0:xf numFmtId="0" fontId="22" fillId="20" borderId="3" xfId="2" applyNumberFormat="1" applyFont="1" applyFill="1" applyBorder="1" applyAlignment="1">
      <ns0:alignment vertical="center" wrapText="1"/>
    </ns0:xf>
    <ns0:xf numFmtId="0" fontId="24" fillId="19" borderId="3" xfId="2" applyNumberFormat="1" applyFont="1" applyFill="1" applyBorder="1"/>
    <ns0:xf numFmtId="0" fontId="24" fillId="19" borderId="3" xfId="2" applyNumberFormat="1" applyFont="1" applyFill="1" applyBorder="1" applyAlignment="1">
      <ns0:alignment wrapText="1"/>
    </ns0:xf>
    <ns0:xf numFmtId="0" fontId="24" fillId="19" borderId="3" xfId="2" applyNumberFormat="1" applyFont="1" applyFill="1" applyBorder="1" applyAlignment="1">
      <ns0:alignment vertical="center" wrapText="1"/>
    </ns0:xf>
    <ns0:xf numFmtId="0" fontId="20" fillId="20" borderId="3" xfId="2" applyNumberFormat="1" applyFont="1" applyFill="1" applyBorder="1"/>
    <ns0:xf numFmtId="0" fontId="20" fillId="20" borderId="3" xfId="2" applyNumberFormat="1" applyFont="1" applyFill="1" applyBorder="1" applyAlignment="1">
      <ns0:alignment wrapText="1"/>
    </ns0:xf>
    <ns0:xf numFmtId="0" fontId="20" fillId="20" borderId="3" xfId="2" applyNumberFormat="1" applyFont="1" applyFill="1" applyBorder="1" applyAlignment="1">
      <ns0:alignment vertical="center" wrapText="1"/>
    </ns0:xf>
    <ns0:xf numFmtId="0" fontId="25" fillId="18" borderId="3" xfId="2" applyNumberFormat="1" applyFont="1" applyFill="1" applyBorder="1" applyAlignment="1">
      <ns0:alignment vertical="center" wrapText="1"/>
    </ns0:xf>
  </ns0:cellXfs>
  <ns0:cellStyles count="1">
    <ns0:cellStyle name="標準" xfId="0" builtinId="0"/>
  </ns0:cellStyles>
  <ns0:dxfs count="0"/>
  <ns0:tableStyles count="0" defaultTableStyle="TableStyleMedium9" defaultPivotStyle="PivotStyleLight16"/>
  <ns0:extLst>
    <ns0:ext uri="{EB79DEF2-80B8-43e5-95BD-54CBDDF9020C}">
      <ns2:slicerStyles defaultSlicerStyle="SlicerStyleLight1"/>
    </ns0:ext>
    <ns0:ext uri="{9260A510-F301-46a8-8635-F512D64BE5F5}">
      <ns3:timelineStyles defaultTimelineStyle="TimeSlicerStyleLight1"/>
    </ns0:ext>
  </ns0:extLst>
</ns0: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xmlns:xr="http://schemas.microsoft.com/office/spreadsheetml/2014/revision" xmlns:xr3="http://schemas.microsoft.com/office/spreadsheetml/2016/revision3" ns1:Ignorable="xr xr3" id="1" ns2:uid="{00000000-000C-0000-FFFF-FFFF00000000}" name="WorkBaseClassification" displayName="WorkBaseClassification" ref="A5:Y205" totalsRowShown="0">
  <ns0:autoFilter ref="A5:Y205" ns2:uid="{00000000-0009-0000-0100-000001000000}"/>
  <ns0:tableColumns count="25">
    <ns0:tableColumn id="1" ns3:uid="{00000000-0010-0000-0000-000001000000}" name="登録ジャンル"/>
    <ns0:tableColumn id="2" ns3:uid="{00000000-0010-0000-0000-000002000000}" name="週間順位"/>
    <ns0:tableColumn id="3" ns3:uid="{00000000-0010-0000-0000-000003000000}" name="作品名"/>
    <ns0:tableColumn id="4" ns3:uid="{00000000-0010-0000-0000-000004000000}" name="主ベース"/>
    <ns0:tableColumn id="5" ns3:uid="{00000000-0010-0000-0000-000005000000}" name="副ベース1"/>
    <ns0:tableColumn id="6" ns3:uid="{00000000-0010-0000-0000-000006000000}" name="副ベース2"/>
    <ns0:tableColumn id="7" ns3:uid="{00000000-0010-0000-0000-000007000000}" name="既存27分類との関係"/>
    <ns0:tableColumn id="8" ns3:uid="{00000000-0010-0000-0000-000008000000}" name="追加・拡張候補"/>
    <ns0:tableColumn id="9" ns3:uid="{00000000-0010-0000-0000-000009000000}" name="判定根拠"/>
    <ns0:tableColumn id="10" ns3:uid="{00000000-0010-0000-0000-00000A000000}" name="想定する読者満足"/>
    <ns0:tableColumn id="11" ns3:uid="{00000000-0010-0000-0000-00000B000000}" name="補助要素・見せ方"/>
    <ns0:tableColumn id="12" ns3:uid="{00000000-0010-0000-0000-00000C000000}" name="判定に使えた情報"/>
    <ns0:tableColumn id="13" ns3:uid="{00000000-0010-0000-0000-00000D000000}" name="作品URL"/>
    <ns0:tableColumn id="14" ns3:uid="{00000000-0010-0000-0000-00000E000000}" name="キャッチコピー（原文）"/>
    <ns0:tableColumn id="15" ns3:uid="{00000000-0010-0000-0000-00000F000000}" name="タグ（原文）"/>
    <ns0:tableColumn id="16" ns3:uid="{00000000-0010-0000-0000-000010000000}" name="取得日時（元データ）"/>
    <ns0:tableColumn id="17" ns3:uid="{00000000-0010-0000-0000-000011000000}" name="出典ファイル"/>
    <ns0:tableColumn id="18" ns3:uid="{00000000-0010-0000-0000-000012000000}" name="作品ID"/>
    <ns0:tableColumn id="19" name="ベース×主要要素（性格の持ち主を明記）"/>
    <ns0:tableColumn id="20" name="主人公の性格・行動傾向"/>
    <ns0:tableColumn id="21" name="相手役の性格・行動傾向"/>
    <ns0:tableColumn id="22" name="面白さを生む要素の関係"/>
    <ns0:tableColumn id="23" name="読者が待つ反応・達成"/>
    <ns0:tableColumn id="24" name="成功後の変化・変奏の余地"/>
    <ns0:tableColumn id="25" name="根拠と未確認事項"/>
  </ns0:tableColumns>
  <ns0:tableStyleInfo name="TableStyleMedium2" showFirstColumn="0" showLastColumn="0" showRowStripes="1" showColumnStripes="0"/>
</ns0: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7"/>
  <sheetViews>
    <sheetView workbookViewId="0"/>
  </sheetViews>
  <sheetFormatPr defaultRowHeight="13.2"/>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v>1</v>
      </c>
      <c r="C2" t="s">
        <v>18</v>
      </c>
      <c r="D2" t="s">
        <v>19</v>
      </c>
      <c r="E2" t="s">
        <v>20</v>
      </c>
      <c r="F2" t="s">
        <v>21</v>
      </c>
      <c r="G2" t="s">
        <v>22</v>
      </c>
      <c r="H2" t="s">
        <v>23</v>
      </c>
      <c r="I2">
        <v>442</v>
      </c>
      <c r="J2" t="s">
        <v>24</v>
      </c>
      <c r="K2">
        <v>4745</v>
      </c>
      <c r="L2">
        <v>377</v>
      </c>
      <c r="M2">
        <v>377</v>
      </c>
      <c r="N2">
        <v>28</v>
      </c>
      <c r="O2">
        <v>95360</v>
      </c>
      <c r="P2">
        <v>17</v>
      </c>
      <c r="Q2" t="s">
        <v>25</v>
      </c>
    </row>
    <row r="3" spans="1:17">
      <c r="A3" t="s">
        <v>17</v>
      </c>
      <c r="B3">
        <v>2</v>
      </c>
      <c r="C3" t="s">
        <v>18</v>
      </c>
      <c r="D3" t="s">
        <v>26</v>
      </c>
      <c r="E3" t="s">
        <v>27</v>
      </c>
      <c r="F3" t="s">
        <v>28</v>
      </c>
      <c r="G3" t="s">
        <v>29</v>
      </c>
      <c r="H3" t="s">
        <v>30</v>
      </c>
      <c r="I3">
        <v>428</v>
      </c>
      <c r="J3" t="s">
        <v>31</v>
      </c>
      <c r="K3">
        <v>4608</v>
      </c>
      <c r="L3">
        <v>173</v>
      </c>
      <c r="M3">
        <v>173</v>
      </c>
      <c r="N3">
        <v>104</v>
      </c>
      <c r="O3">
        <v>626994</v>
      </c>
      <c r="P3">
        <v>27</v>
      </c>
      <c r="Q3" t="s">
        <v>25</v>
      </c>
    </row>
    <row r="4" spans="1:17">
      <c r="A4" t="s">
        <v>17</v>
      </c>
      <c r="B4">
        <v>3</v>
      </c>
      <c r="C4" t="s">
        <v>18</v>
      </c>
      <c r="D4" t="s">
        <v>32</v>
      </c>
      <c r="E4" t="s">
        <v>33</v>
      </c>
      <c r="F4" t="s">
        <v>34</v>
      </c>
      <c r="G4" t="s">
        <v>35</v>
      </c>
      <c r="H4" t="s">
        <v>36</v>
      </c>
      <c r="I4">
        <v>573</v>
      </c>
      <c r="J4" t="s">
        <v>37</v>
      </c>
      <c r="K4">
        <v>3019</v>
      </c>
      <c r="L4">
        <v>231</v>
      </c>
      <c r="M4">
        <v>231</v>
      </c>
      <c r="N4">
        <v>25</v>
      </c>
      <c r="O4">
        <v>79035</v>
      </c>
      <c r="P4">
        <v>20</v>
      </c>
      <c r="Q4" t="s">
        <v>25</v>
      </c>
    </row>
    <row r="5" spans="1:17">
      <c r="A5" t="s">
        <v>17</v>
      </c>
      <c r="B5">
        <v>4</v>
      </c>
      <c r="C5" t="s">
        <v>18</v>
      </c>
      <c r="D5" t="s">
        <v>38</v>
      </c>
      <c r="E5" t="s">
        <v>39</v>
      </c>
      <c r="F5" t="s">
        <v>40</v>
      </c>
      <c r="G5" t="s">
        <v>41</v>
      </c>
      <c r="H5" t="s">
        <v>42</v>
      </c>
      <c r="I5">
        <v>423</v>
      </c>
      <c r="J5" t="s">
        <v>43</v>
      </c>
      <c r="K5">
        <v>2394</v>
      </c>
      <c r="L5">
        <v>196</v>
      </c>
      <c r="M5">
        <v>196</v>
      </c>
      <c r="N5">
        <v>40</v>
      </c>
      <c r="O5">
        <v>127341</v>
      </c>
      <c r="P5">
        <v>18</v>
      </c>
      <c r="Q5" t="s">
        <v>44</v>
      </c>
    </row>
    <row r="6" spans="1:17">
      <c r="A6" t="s">
        <v>17</v>
      </c>
      <c r="B6">
        <v>5</v>
      </c>
      <c r="C6" t="s">
        <v>18</v>
      </c>
      <c r="D6" t="s">
        <v>45</v>
      </c>
      <c r="E6" t="s">
        <v>46</v>
      </c>
      <c r="F6" t="s">
        <v>47</v>
      </c>
      <c r="G6" t="s">
        <v>48</v>
      </c>
      <c r="H6" t="s">
        <v>49</v>
      </c>
      <c r="I6">
        <v>457</v>
      </c>
      <c r="J6" t="s">
        <v>50</v>
      </c>
      <c r="K6">
        <v>1697</v>
      </c>
      <c r="L6">
        <v>176</v>
      </c>
      <c r="M6">
        <v>176</v>
      </c>
      <c r="N6">
        <v>36</v>
      </c>
      <c r="O6">
        <v>248594</v>
      </c>
      <c r="P6">
        <v>17</v>
      </c>
      <c r="Q6" t="s">
        <v>25</v>
      </c>
    </row>
    <row r="7" spans="1:17">
      <c r="A7" t="s">
        <v>17</v>
      </c>
      <c r="B7">
        <v>6</v>
      </c>
      <c r="C7" t="s">
        <v>18</v>
      </c>
      <c r="D7" t="s">
        <v>51</v>
      </c>
      <c r="E7" t="s">
        <v>52</v>
      </c>
      <c r="F7" t="s">
        <v>53</v>
      </c>
      <c r="G7" t="s">
        <v>54</v>
      </c>
      <c r="H7" t="s">
        <v>55</v>
      </c>
      <c r="I7">
        <v>397</v>
      </c>
      <c r="J7" t="s">
        <v>56</v>
      </c>
      <c r="K7">
        <v>2180</v>
      </c>
      <c r="L7">
        <v>51</v>
      </c>
      <c r="M7">
        <v>51</v>
      </c>
      <c r="N7">
        <v>59</v>
      </c>
      <c r="O7">
        <v>87861</v>
      </c>
      <c r="P7">
        <v>60</v>
      </c>
      <c r="Q7" t="s">
        <v>25</v>
      </c>
    </row>
    <row r="8" spans="1:17">
      <c r="A8" t="s">
        <v>17</v>
      </c>
      <c r="B8">
        <v>7</v>
      </c>
      <c r="C8" t="s">
        <v>18</v>
      </c>
      <c r="D8" t="s">
        <v>57</v>
      </c>
      <c r="E8" t="s">
        <v>58</v>
      </c>
      <c r="F8" t="s">
        <v>59</v>
      </c>
      <c r="G8" t="s">
        <v>60</v>
      </c>
      <c r="H8" t="s">
        <v>61</v>
      </c>
      <c r="I8">
        <v>470</v>
      </c>
      <c r="J8" t="s">
        <v>62</v>
      </c>
      <c r="K8">
        <v>1259</v>
      </c>
      <c r="L8">
        <v>94</v>
      </c>
      <c r="M8">
        <v>94</v>
      </c>
      <c r="N8">
        <v>35</v>
      </c>
      <c r="O8">
        <v>84223</v>
      </c>
      <c r="P8">
        <v>21</v>
      </c>
      <c r="Q8" t="s">
        <v>25</v>
      </c>
    </row>
    <row r="9" spans="1:17">
      <c r="A9" t="s">
        <v>17</v>
      </c>
      <c r="B9">
        <v>8</v>
      </c>
      <c r="C9" t="s">
        <v>18</v>
      </c>
      <c r="D9" t="s">
        <v>63</v>
      </c>
      <c r="E9" t="s">
        <v>64</v>
      </c>
      <c r="F9" t="s">
        <v>65</v>
      </c>
      <c r="G9" t="s">
        <v>66</v>
      </c>
      <c r="H9" t="s">
        <v>67</v>
      </c>
      <c r="I9">
        <v>373</v>
      </c>
      <c r="J9" t="s">
        <v>68</v>
      </c>
      <c r="K9">
        <v>709</v>
      </c>
      <c r="L9">
        <v>66</v>
      </c>
      <c r="M9">
        <v>66</v>
      </c>
      <c r="N9">
        <v>20</v>
      </c>
      <c r="O9">
        <v>125100</v>
      </c>
      <c r="P9">
        <v>11</v>
      </c>
      <c r="Q9" t="s">
        <v>25</v>
      </c>
    </row>
    <row r="10" spans="1:17">
      <c r="A10" t="s">
        <v>17</v>
      </c>
      <c r="B10">
        <v>9</v>
      </c>
      <c r="C10" t="s">
        <v>18</v>
      </c>
      <c r="D10" t="s">
        <v>69</v>
      </c>
      <c r="E10" t="s">
        <v>70</v>
      </c>
      <c r="F10" t="s">
        <v>71</v>
      </c>
      <c r="G10" t="s">
        <v>72</v>
      </c>
      <c r="H10" t="s">
        <v>73</v>
      </c>
      <c r="I10">
        <v>898</v>
      </c>
      <c r="J10" t="s">
        <v>74</v>
      </c>
      <c r="K10">
        <v>1158</v>
      </c>
      <c r="L10">
        <v>62</v>
      </c>
      <c r="M10">
        <v>62</v>
      </c>
      <c r="N10">
        <v>32</v>
      </c>
      <c r="O10">
        <v>83907</v>
      </c>
      <c r="P10">
        <v>30</v>
      </c>
      <c r="Q10" t="s">
        <v>25</v>
      </c>
    </row>
    <row r="11" spans="1:17">
      <c r="A11" t="s">
        <v>17</v>
      </c>
      <c r="B11">
        <v>10</v>
      </c>
      <c r="C11" t="s">
        <v>18</v>
      </c>
      <c r="D11" t="s">
        <v>75</v>
      </c>
      <c r="E11" t="s">
        <v>76</v>
      </c>
      <c r="F11" t="s">
        <v>77</v>
      </c>
      <c r="G11" t="s">
        <v>78</v>
      </c>
      <c r="H11" t="s">
        <v>79</v>
      </c>
      <c r="I11">
        <v>160</v>
      </c>
      <c r="J11" t="s">
        <v>80</v>
      </c>
      <c r="K11">
        <v>5914</v>
      </c>
      <c r="L11">
        <v>43</v>
      </c>
      <c r="M11">
        <v>43</v>
      </c>
      <c r="N11">
        <v>33</v>
      </c>
      <c r="O11">
        <v>104145</v>
      </c>
      <c r="P11">
        <v>32</v>
      </c>
      <c r="Q11" t="s">
        <v>25</v>
      </c>
    </row>
    <row r="12" spans="1:17">
      <c r="A12" t="s">
        <v>17</v>
      </c>
      <c r="B12">
        <v>11</v>
      </c>
      <c r="C12" t="s">
        <v>18</v>
      </c>
      <c r="D12" t="s">
        <v>81</v>
      </c>
      <c r="E12" t="s">
        <v>82</v>
      </c>
      <c r="F12" t="s">
        <v>83</v>
      </c>
      <c r="G12" t="s">
        <v>84</v>
      </c>
      <c r="H12" t="s">
        <v>85</v>
      </c>
      <c r="I12">
        <v>473</v>
      </c>
      <c r="J12" t="s">
        <v>86</v>
      </c>
      <c r="K12">
        <v>3605</v>
      </c>
      <c r="L12">
        <v>35</v>
      </c>
      <c r="M12">
        <v>35</v>
      </c>
      <c r="N12">
        <v>41</v>
      </c>
      <c r="O12">
        <v>156617</v>
      </c>
      <c r="P12">
        <v>40</v>
      </c>
      <c r="Q12" t="s">
        <v>25</v>
      </c>
    </row>
    <row r="13" spans="1:17">
      <c r="A13" t="s">
        <v>17</v>
      </c>
      <c r="B13">
        <v>12</v>
      </c>
      <c r="C13" t="s">
        <v>18</v>
      </c>
      <c r="D13" t="s">
        <v>87</v>
      </c>
      <c r="E13" t="s">
        <v>88</v>
      </c>
      <c r="F13" t="s">
        <v>89</v>
      </c>
      <c r="G13" t="s">
        <v>90</v>
      </c>
      <c r="H13" t="s">
        <v>91</v>
      </c>
      <c r="I13">
        <v>465</v>
      </c>
      <c r="J13" t="s">
        <v>92</v>
      </c>
      <c r="K13">
        <v>1590</v>
      </c>
      <c r="L13">
        <v>20</v>
      </c>
      <c r="M13">
        <v>20</v>
      </c>
      <c r="N13">
        <v>32</v>
      </c>
      <c r="O13">
        <v>140783</v>
      </c>
      <c r="P13">
        <v>27</v>
      </c>
      <c r="Q13" t="s">
        <v>25</v>
      </c>
    </row>
    <row r="14" spans="1:17">
      <c r="A14" t="s">
        <v>17</v>
      </c>
      <c r="B14">
        <v>13</v>
      </c>
      <c r="C14" t="s">
        <v>18</v>
      </c>
      <c r="D14" t="s">
        <v>93</v>
      </c>
      <c r="E14" t="s">
        <v>94</v>
      </c>
      <c r="F14" t="s">
        <v>95</v>
      </c>
      <c r="G14" t="s">
        <v>96</v>
      </c>
      <c r="H14" t="s">
        <v>97</v>
      </c>
      <c r="I14">
        <v>791</v>
      </c>
      <c r="J14" t="s">
        <v>98</v>
      </c>
      <c r="K14">
        <v>498</v>
      </c>
      <c r="L14">
        <v>51</v>
      </c>
      <c r="M14">
        <v>51</v>
      </c>
      <c r="N14">
        <v>67</v>
      </c>
      <c r="O14">
        <v>140141</v>
      </c>
      <c r="P14">
        <v>16</v>
      </c>
      <c r="Q14" t="s">
        <v>25</v>
      </c>
    </row>
    <row r="15" spans="1:17">
      <c r="A15" t="s">
        <v>17</v>
      </c>
      <c r="B15">
        <v>14</v>
      </c>
      <c r="C15" t="s">
        <v>18</v>
      </c>
      <c r="D15" t="s">
        <v>99</v>
      </c>
      <c r="E15" t="s">
        <v>100</v>
      </c>
      <c r="F15" t="s">
        <v>101</v>
      </c>
      <c r="G15" t="s">
        <v>102</v>
      </c>
      <c r="H15" t="s">
        <v>103</v>
      </c>
      <c r="I15">
        <v>337</v>
      </c>
      <c r="J15" t="s">
        <v>104</v>
      </c>
      <c r="K15">
        <v>558</v>
      </c>
      <c r="L15">
        <v>48</v>
      </c>
      <c r="M15">
        <v>48</v>
      </c>
      <c r="N15">
        <v>18</v>
      </c>
      <c r="O15">
        <v>57546</v>
      </c>
      <c r="P15">
        <v>15</v>
      </c>
      <c r="Q15" t="s">
        <v>25</v>
      </c>
    </row>
    <row r="16" spans="1:17">
      <c r="A16" t="s">
        <v>17</v>
      </c>
      <c r="B16">
        <v>15</v>
      </c>
      <c r="C16" t="s">
        <v>18</v>
      </c>
      <c r="D16" t="s">
        <v>105</v>
      </c>
      <c r="E16" t="s">
        <v>106</v>
      </c>
      <c r="F16" t="s">
        <v>107</v>
      </c>
      <c r="G16" t="s">
        <v>108</v>
      </c>
      <c r="H16" t="s">
        <v>109</v>
      </c>
      <c r="I16">
        <v>578</v>
      </c>
      <c r="J16" t="s">
        <v>110</v>
      </c>
      <c r="K16">
        <v>554</v>
      </c>
      <c r="L16">
        <v>34</v>
      </c>
      <c r="M16">
        <v>34</v>
      </c>
      <c r="N16">
        <v>50</v>
      </c>
      <c r="O16">
        <v>237794</v>
      </c>
      <c r="P16">
        <v>12</v>
      </c>
      <c r="Q16" t="s">
        <v>44</v>
      </c>
    </row>
    <row r="17" spans="1:17">
      <c r="A17" t="s">
        <v>17</v>
      </c>
      <c r="B17">
        <v>16</v>
      </c>
      <c r="C17" t="s">
        <v>18</v>
      </c>
      <c r="D17" t="s">
        <v>111</v>
      </c>
      <c r="E17" t="s">
        <v>20</v>
      </c>
      <c r="F17" t="s">
        <v>112</v>
      </c>
      <c r="G17" t="s">
        <v>113</v>
      </c>
      <c r="H17" t="s">
        <v>114</v>
      </c>
      <c r="I17">
        <v>405</v>
      </c>
      <c r="J17" t="s">
        <v>115</v>
      </c>
      <c r="K17">
        <v>2789</v>
      </c>
      <c r="L17">
        <v>233</v>
      </c>
      <c r="M17">
        <v>233</v>
      </c>
      <c r="N17">
        <v>70</v>
      </c>
      <c r="O17">
        <v>213780</v>
      </c>
      <c r="P17">
        <v>41</v>
      </c>
      <c r="Q17" t="s">
        <v>44</v>
      </c>
    </row>
    <row r="18" spans="1:17">
      <c r="A18" t="s">
        <v>17</v>
      </c>
      <c r="B18">
        <v>17</v>
      </c>
      <c r="C18" t="s">
        <v>18</v>
      </c>
      <c r="D18" t="s">
        <v>116</v>
      </c>
      <c r="E18" t="s">
        <v>117</v>
      </c>
      <c r="F18" t="s">
        <v>118</v>
      </c>
      <c r="G18" t="s">
        <v>119</v>
      </c>
      <c r="H18" t="s">
        <v>120</v>
      </c>
      <c r="I18">
        <v>528</v>
      </c>
      <c r="J18" t="s">
        <v>121</v>
      </c>
      <c r="K18">
        <v>272</v>
      </c>
      <c r="L18">
        <v>103</v>
      </c>
      <c r="M18">
        <v>103</v>
      </c>
      <c r="N18">
        <v>16</v>
      </c>
      <c r="O18">
        <v>115885</v>
      </c>
      <c r="P18">
        <v>7</v>
      </c>
      <c r="Q18" t="s">
        <v>25</v>
      </c>
    </row>
    <row r="19" spans="1:17">
      <c r="A19" t="s">
        <v>17</v>
      </c>
      <c r="B19">
        <v>18</v>
      </c>
      <c r="C19" t="s">
        <v>18</v>
      </c>
      <c r="D19" t="s">
        <v>122</v>
      </c>
      <c r="E19" t="s">
        <v>123</v>
      </c>
      <c r="F19" t="s">
        <v>124</v>
      </c>
      <c r="G19" t="s">
        <v>125</v>
      </c>
      <c r="H19" t="s">
        <v>126</v>
      </c>
      <c r="I19">
        <v>475</v>
      </c>
      <c r="J19" t="s">
        <v>127</v>
      </c>
      <c r="K19">
        <v>665</v>
      </c>
      <c r="L19">
        <v>28</v>
      </c>
      <c r="M19">
        <v>28</v>
      </c>
      <c r="N19">
        <v>16</v>
      </c>
      <c r="O19">
        <v>53553</v>
      </c>
      <c r="P19">
        <v>15</v>
      </c>
      <c r="Q19" t="s">
        <v>25</v>
      </c>
    </row>
    <row r="20" spans="1:17">
      <c r="A20" t="s">
        <v>17</v>
      </c>
      <c r="B20">
        <v>19</v>
      </c>
      <c r="C20" t="s">
        <v>18</v>
      </c>
      <c r="D20" t="s">
        <v>128</v>
      </c>
      <c r="E20" t="s">
        <v>129</v>
      </c>
      <c r="F20" t="s">
        <v>130</v>
      </c>
      <c r="G20" t="s">
        <v>131</v>
      </c>
      <c r="H20" t="s">
        <v>132</v>
      </c>
      <c r="I20">
        <v>564</v>
      </c>
      <c r="J20" t="s">
        <v>133</v>
      </c>
      <c r="K20">
        <v>7782</v>
      </c>
      <c r="L20">
        <v>21</v>
      </c>
      <c r="M20">
        <v>21</v>
      </c>
      <c r="N20">
        <v>60</v>
      </c>
      <c r="O20">
        <v>185604</v>
      </c>
      <c r="P20">
        <v>48</v>
      </c>
      <c r="Q20" t="s">
        <v>25</v>
      </c>
    </row>
    <row r="21" spans="1:17">
      <c r="A21" t="s">
        <v>17</v>
      </c>
      <c r="B21">
        <v>20</v>
      </c>
      <c r="C21" t="s">
        <v>18</v>
      </c>
      <c r="D21" t="s">
        <v>134</v>
      </c>
      <c r="E21" t="s">
        <v>135</v>
      </c>
      <c r="F21" t="s">
        <v>136</v>
      </c>
      <c r="G21" t="s">
        <v>137</v>
      </c>
      <c r="H21" t="s">
        <v>138</v>
      </c>
      <c r="I21">
        <v>384</v>
      </c>
      <c r="J21" t="s">
        <v>139</v>
      </c>
      <c r="K21">
        <v>731</v>
      </c>
      <c r="L21">
        <v>34</v>
      </c>
      <c r="M21">
        <v>34</v>
      </c>
      <c r="N21">
        <v>27</v>
      </c>
      <c r="O21">
        <v>182412</v>
      </c>
      <c r="P21">
        <v>21</v>
      </c>
      <c r="Q21" t="s">
        <v>25</v>
      </c>
    </row>
    <row r="22" spans="1:17">
      <c r="A22" t="s">
        <v>17</v>
      </c>
      <c r="B22">
        <v>21</v>
      </c>
      <c r="C22" t="s">
        <v>18</v>
      </c>
      <c r="D22" t="s">
        <v>140</v>
      </c>
      <c r="E22" t="s">
        <v>141</v>
      </c>
      <c r="F22" t="s">
        <v>142</v>
      </c>
      <c r="G22" t="s">
        <v>143</v>
      </c>
      <c r="H22" t="s">
        <v>144</v>
      </c>
      <c r="I22">
        <v>558</v>
      </c>
      <c r="J22" t="s">
        <v>145</v>
      </c>
      <c r="K22">
        <v>418</v>
      </c>
      <c r="L22">
        <v>21</v>
      </c>
      <c r="M22">
        <v>21</v>
      </c>
      <c r="N22">
        <v>25</v>
      </c>
      <c r="O22">
        <v>99641</v>
      </c>
      <c r="P22">
        <v>16</v>
      </c>
      <c r="Q22" t="s">
        <v>25</v>
      </c>
    </row>
    <row r="23" spans="1:17">
      <c r="A23" t="s">
        <v>17</v>
      </c>
      <c r="B23">
        <v>22</v>
      </c>
      <c r="C23" t="s">
        <v>18</v>
      </c>
      <c r="D23" t="s">
        <v>146</v>
      </c>
      <c r="E23" t="s">
        <v>147</v>
      </c>
      <c r="F23" t="s">
        <v>148</v>
      </c>
      <c r="G23" t="s">
        <v>149</v>
      </c>
      <c r="H23" t="s">
        <v>150</v>
      </c>
      <c r="I23">
        <v>381</v>
      </c>
      <c r="J23" t="s">
        <v>151</v>
      </c>
      <c r="K23">
        <v>241</v>
      </c>
      <c r="L23">
        <v>48</v>
      </c>
      <c r="M23">
        <v>48</v>
      </c>
      <c r="N23">
        <v>65</v>
      </c>
      <c r="O23">
        <v>161695</v>
      </c>
      <c r="P23">
        <v>8</v>
      </c>
      <c r="Q23" t="s">
        <v>25</v>
      </c>
    </row>
    <row r="24" spans="1:17">
      <c r="A24" t="s">
        <v>17</v>
      </c>
      <c r="B24">
        <v>23</v>
      </c>
      <c r="C24" t="s">
        <v>18</v>
      </c>
      <c r="D24" t="s">
        <v>152</v>
      </c>
      <c r="E24" t="s">
        <v>153</v>
      </c>
      <c r="F24" t="s">
        <v>154</v>
      </c>
      <c r="G24" t="s">
        <v>155</v>
      </c>
      <c r="H24" t="s">
        <v>156</v>
      </c>
      <c r="I24">
        <v>551</v>
      </c>
      <c r="J24" t="s">
        <v>157</v>
      </c>
      <c r="K24">
        <v>840</v>
      </c>
      <c r="L24">
        <v>39</v>
      </c>
      <c r="M24">
        <v>39</v>
      </c>
      <c r="N24">
        <v>21</v>
      </c>
      <c r="O24">
        <v>267638</v>
      </c>
      <c r="P24">
        <v>19</v>
      </c>
      <c r="Q24" t="s">
        <v>25</v>
      </c>
    </row>
    <row r="25" spans="1:17">
      <c r="A25" t="s">
        <v>17</v>
      </c>
      <c r="B25">
        <v>24</v>
      </c>
      <c r="C25" t="s">
        <v>18</v>
      </c>
      <c r="D25" t="s">
        <v>158</v>
      </c>
      <c r="E25" t="s">
        <v>159</v>
      </c>
      <c r="F25" t="s">
        <v>160</v>
      </c>
      <c r="G25" t="s">
        <v>161</v>
      </c>
      <c r="H25" t="s">
        <v>162</v>
      </c>
      <c r="I25">
        <v>206</v>
      </c>
      <c r="J25" t="s">
        <v>163</v>
      </c>
      <c r="K25">
        <v>279</v>
      </c>
      <c r="L25">
        <v>22</v>
      </c>
      <c r="M25">
        <v>22</v>
      </c>
      <c r="N25">
        <v>13</v>
      </c>
      <c r="O25">
        <v>22690</v>
      </c>
      <c r="P25">
        <v>11</v>
      </c>
      <c r="Q25" t="s">
        <v>25</v>
      </c>
    </row>
    <row r="26" spans="1:17">
      <c r="A26" t="s">
        <v>17</v>
      </c>
      <c r="B26">
        <v>25</v>
      </c>
      <c r="C26" t="s">
        <v>18</v>
      </c>
      <c r="D26" t="s">
        <v>164</v>
      </c>
      <c r="E26" t="s">
        <v>165</v>
      </c>
      <c r="F26" t="s">
        <v>166</v>
      </c>
      <c r="G26" t="s">
        <v>167</v>
      </c>
      <c r="H26" t="s">
        <v>168</v>
      </c>
      <c r="I26">
        <v>368</v>
      </c>
      <c r="J26" t="s">
        <v>169</v>
      </c>
      <c r="K26">
        <v>1612</v>
      </c>
      <c r="L26">
        <v>44</v>
      </c>
      <c r="M26">
        <v>44</v>
      </c>
      <c r="N26">
        <v>47</v>
      </c>
      <c r="O26">
        <v>133431</v>
      </c>
      <c r="P26">
        <v>46</v>
      </c>
      <c r="Q26" t="s">
        <v>25</v>
      </c>
    </row>
    <row r="27" spans="1:17">
      <c r="A27" t="s">
        <v>17</v>
      </c>
      <c r="B27">
        <v>26</v>
      </c>
      <c r="C27" t="s">
        <v>18</v>
      </c>
      <c r="D27" t="s">
        <v>170</v>
      </c>
      <c r="E27" t="s">
        <v>171</v>
      </c>
      <c r="F27" t="s">
        <v>172</v>
      </c>
      <c r="G27" t="s">
        <v>173</v>
      </c>
      <c r="H27" t="s">
        <v>174</v>
      </c>
      <c r="I27">
        <v>277</v>
      </c>
      <c r="J27" t="s">
        <v>175</v>
      </c>
      <c r="K27">
        <v>1103</v>
      </c>
      <c r="L27">
        <v>41</v>
      </c>
      <c r="M27">
        <v>41</v>
      </c>
      <c r="N27">
        <v>34</v>
      </c>
      <c r="O27">
        <v>77849</v>
      </c>
      <c r="P27">
        <v>33</v>
      </c>
      <c r="Q27" t="s">
        <v>25</v>
      </c>
    </row>
    <row r="28" spans="1:17">
      <c r="A28" t="s">
        <v>17</v>
      </c>
      <c r="B28">
        <v>27</v>
      </c>
      <c r="C28" t="s">
        <v>18</v>
      </c>
      <c r="D28" t="s">
        <v>176</v>
      </c>
      <c r="E28" t="s">
        <v>20</v>
      </c>
      <c r="F28" t="s">
        <v>177</v>
      </c>
      <c r="G28" t="s">
        <v>178</v>
      </c>
      <c r="H28" t="s">
        <v>179</v>
      </c>
      <c r="I28">
        <v>288</v>
      </c>
      <c r="J28" t="s">
        <v>180</v>
      </c>
      <c r="K28">
        <v>13296</v>
      </c>
      <c r="L28">
        <v>122</v>
      </c>
      <c r="M28">
        <v>122</v>
      </c>
      <c r="N28">
        <v>76</v>
      </c>
      <c r="O28">
        <v>176721</v>
      </c>
      <c r="P28">
        <v>73</v>
      </c>
      <c r="Q28" t="s">
        <v>44</v>
      </c>
    </row>
    <row r="29" spans="1:17">
      <c r="A29" t="s">
        <v>17</v>
      </c>
      <c r="B29">
        <v>28</v>
      </c>
      <c r="C29" t="s">
        <v>18</v>
      </c>
      <c r="D29" t="s">
        <v>181</v>
      </c>
      <c r="E29" t="s">
        <v>182</v>
      </c>
      <c r="F29" t="s">
        <v>183</v>
      </c>
      <c r="G29" t="s">
        <v>184</v>
      </c>
      <c r="H29" t="s">
        <v>185</v>
      </c>
      <c r="I29">
        <v>327</v>
      </c>
      <c r="J29" t="s">
        <v>186</v>
      </c>
      <c r="K29">
        <v>693</v>
      </c>
      <c r="L29">
        <v>26</v>
      </c>
      <c r="M29">
        <v>26</v>
      </c>
      <c r="N29">
        <v>91</v>
      </c>
      <c r="O29">
        <v>716425</v>
      </c>
      <c r="P29">
        <v>21</v>
      </c>
      <c r="Q29" t="s">
        <v>25</v>
      </c>
    </row>
    <row r="30" spans="1:17">
      <c r="A30" t="s">
        <v>17</v>
      </c>
      <c r="B30">
        <v>29</v>
      </c>
      <c r="C30" t="s">
        <v>18</v>
      </c>
      <c r="D30" t="s">
        <v>187</v>
      </c>
      <c r="E30" t="s">
        <v>188</v>
      </c>
      <c r="F30" t="s">
        <v>189</v>
      </c>
      <c r="G30" t="s">
        <v>190</v>
      </c>
      <c r="H30" t="s">
        <v>191</v>
      </c>
      <c r="I30">
        <v>399</v>
      </c>
      <c r="J30" t="s">
        <v>192</v>
      </c>
      <c r="K30">
        <v>656</v>
      </c>
      <c r="L30">
        <v>11</v>
      </c>
      <c r="M30">
        <v>11</v>
      </c>
      <c r="N30">
        <v>32</v>
      </c>
      <c r="O30">
        <v>341172</v>
      </c>
      <c r="P30">
        <v>30</v>
      </c>
      <c r="Q30" t="s">
        <v>25</v>
      </c>
    </row>
    <row r="31" spans="1:17">
      <c r="A31" t="s">
        <v>17</v>
      </c>
      <c r="B31">
        <v>30</v>
      </c>
      <c r="C31" t="s">
        <v>18</v>
      </c>
      <c r="D31" t="s">
        <v>193</v>
      </c>
      <c r="E31" t="s">
        <v>141</v>
      </c>
      <c r="F31" t="s">
        <v>194</v>
      </c>
      <c r="G31" t="s">
        <v>195</v>
      </c>
      <c r="H31" t="s">
        <v>196</v>
      </c>
      <c r="I31">
        <v>637</v>
      </c>
      <c r="J31" t="s">
        <v>197</v>
      </c>
      <c r="K31">
        <v>144</v>
      </c>
      <c r="L31">
        <v>23</v>
      </c>
      <c r="M31">
        <v>23</v>
      </c>
      <c r="N31">
        <v>8</v>
      </c>
      <c r="O31">
        <v>33077</v>
      </c>
      <c r="P31">
        <v>5</v>
      </c>
      <c r="Q31" t="s">
        <v>25</v>
      </c>
    </row>
    <row r="32" spans="1:17">
      <c r="A32" t="s">
        <v>17</v>
      </c>
      <c r="B32">
        <v>31</v>
      </c>
      <c r="C32" t="s">
        <v>18</v>
      </c>
      <c r="D32" t="s">
        <v>198</v>
      </c>
      <c r="E32" t="s">
        <v>199</v>
      </c>
      <c r="F32" t="s">
        <v>200</v>
      </c>
      <c r="G32" t="s">
        <v>201</v>
      </c>
      <c r="H32" t="s">
        <v>202</v>
      </c>
      <c r="I32">
        <v>450</v>
      </c>
      <c r="J32" t="s">
        <v>203</v>
      </c>
      <c r="K32">
        <v>1076</v>
      </c>
      <c r="L32">
        <v>12</v>
      </c>
      <c r="M32">
        <v>12</v>
      </c>
      <c r="N32">
        <v>56</v>
      </c>
      <c r="O32">
        <v>150735</v>
      </c>
      <c r="P32">
        <v>55</v>
      </c>
      <c r="Q32" t="s">
        <v>25</v>
      </c>
    </row>
    <row r="33" spans="1:17">
      <c r="A33" t="s">
        <v>17</v>
      </c>
      <c r="B33">
        <v>32</v>
      </c>
      <c r="C33" t="s">
        <v>18</v>
      </c>
      <c r="D33" t="s">
        <v>204</v>
      </c>
      <c r="E33" t="s">
        <v>205</v>
      </c>
      <c r="F33" t="s">
        <v>206</v>
      </c>
      <c r="G33" t="s">
        <v>207</v>
      </c>
      <c r="H33" t="s">
        <v>208</v>
      </c>
      <c r="I33">
        <v>407</v>
      </c>
      <c r="J33" t="s">
        <v>209</v>
      </c>
      <c r="K33">
        <v>1851</v>
      </c>
      <c r="L33">
        <v>15</v>
      </c>
      <c r="M33">
        <v>15</v>
      </c>
      <c r="N33">
        <v>259</v>
      </c>
      <c r="O33">
        <v>592050</v>
      </c>
      <c r="P33">
        <v>489</v>
      </c>
      <c r="Q33" t="s">
        <v>25</v>
      </c>
    </row>
    <row r="34" spans="1:17">
      <c r="A34" t="s">
        <v>17</v>
      </c>
      <c r="B34">
        <v>33</v>
      </c>
      <c r="C34" t="s">
        <v>18</v>
      </c>
      <c r="D34" t="s">
        <v>210</v>
      </c>
      <c r="E34" t="s">
        <v>211</v>
      </c>
      <c r="F34" t="s">
        <v>212</v>
      </c>
      <c r="G34" t="s">
        <v>213</v>
      </c>
      <c r="H34" t="s">
        <v>214</v>
      </c>
      <c r="I34">
        <v>659</v>
      </c>
      <c r="J34" t="s">
        <v>215</v>
      </c>
      <c r="K34">
        <v>1497</v>
      </c>
      <c r="L34">
        <v>14</v>
      </c>
      <c r="M34">
        <v>14</v>
      </c>
      <c r="N34">
        <v>48</v>
      </c>
      <c r="O34">
        <v>229351</v>
      </c>
      <c r="P34">
        <v>38</v>
      </c>
      <c r="Q34" t="s">
        <v>25</v>
      </c>
    </row>
    <row r="35" spans="1:17">
      <c r="A35" t="s">
        <v>17</v>
      </c>
      <c r="B35">
        <v>34</v>
      </c>
      <c r="C35" t="s">
        <v>18</v>
      </c>
      <c r="D35" t="s">
        <v>216</v>
      </c>
      <c r="E35" t="s">
        <v>217</v>
      </c>
      <c r="F35" t="s">
        <v>218</v>
      </c>
      <c r="G35" t="s">
        <v>219</v>
      </c>
      <c r="H35" t="s">
        <v>220</v>
      </c>
      <c r="I35">
        <v>262</v>
      </c>
      <c r="J35" t="s">
        <v>221</v>
      </c>
      <c r="K35">
        <v>220</v>
      </c>
      <c r="L35">
        <v>32</v>
      </c>
      <c r="M35">
        <v>32</v>
      </c>
      <c r="N35">
        <v>31</v>
      </c>
      <c r="O35">
        <v>43520</v>
      </c>
      <c r="P35">
        <v>13</v>
      </c>
      <c r="Q35" t="s">
        <v>25</v>
      </c>
    </row>
    <row r="36" spans="1:17">
      <c r="A36" t="s">
        <v>17</v>
      </c>
      <c r="B36">
        <v>35</v>
      </c>
      <c r="C36" t="s">
        <v>18</v>
      </c>
      <c r="D36" t="s">
        <v>222</v>
      </c>
      <c r="E36" t="s">
        <v>223</v>
      </c>
      <c r="F36" t="s">
        <v>224</v>
      </c>
      <c r="G36" t="s">
        <v>225</v>
      </c>
      <c r="H36" t="s">
        <v>226</v>
      </c>
      <c r="I36">
        <v>103</v>
      </c>
      <c r="J36" t="s">
        <v>227</v>
      </c>
      <c r="K36">
        <v>489</v>
      </c>
      <c r="L36">
        <v>14</v>
      </c>
      <c r="M36">
        <v>14</v>
      </c>
      <c r="N36">
        <v>21</v>
      </c>
      <c r="O36">
        <v>45367</v>
      </c>
      <c r="P36">
        <v>31</v>
      </c>
      <c r="Q36" t="s">
        <v>25</v>
      </c>
    </row>
    <row r="37" spans="1:17">
      <c r="A37" t="s">
        <v>17</v>
      </c>
      <c r="B37">
        <v>36</v>
      </c>
      <c r="C37" t="s">
        <v>18</v>
      </c>
      <c r="D37" t="s">
        <v>228</v>
      </c>
      <c r="E37" t="s">
        <v>229</v>
      </c>
      <c r="F37" t="s">
        <v>230</v>
      </c>
      <c r="G37" t="s">
        <v>231</v>
      </c>
      <c r="H37" t="s">
        <v>232</v>
      </c>
      <c r="I37">
        <v>675</v>
      </c>
      <c r="J37" t="s">
        <v>233</v>
      </c>
      <c r="K37">
        <v>434</v>
      </c>
      <c r="L37">
        <v>14</v>
      </c>
      <c r="M37">
        <v>14</v>
      </c>
      <c r="N37">
        <v>27</v>
      </c>
      <c r="O37">
        <v>71149</v>
      </c>
      <c r="P37">
        <v>23</v>
      </c>
      <c r="Q37" t="s">
        <v>25</v>
      </c>
    </row>
    <row r="38" spans="1:17">
      <c r="A38" t="s">
        <v>17</v>
      </c>
      <c r="B38">
        <v>37</v>
      </c>
      <c r="C38" t="s">
        <v>18</v>
      </c>
      <c r="D38" t="s">
        <v>234</v>
      </c>
      <c r="E38" t="s">
        <v>235</v>
      </c>
      <c r="F38" t="s">
        <v>236</v>
      </c>
      <c r="G38" t="s">
        <v>237</v>
      </c>
      <c r="H38" t="s">
        <v>238</v>
      </c>
      <c r="I38">
        <v>653</v>
      </c>
      <c r="J38" t="s">
        <v>239</v>
      </c>
      <c r="K38">
        <v>25341</v>
      </c>
      <c r="L38">
        <v>21</v>
      </c>
      <c r="M38">
        <v>21</v>
      </c>
      <c r="N38">
        <v>90</v>
      </c>
      <c r="O38">
        <v>509409</v>
      </c>
      <c r="P38">
        <v>288</v>
      </c>
      <c r="Q38" t="s">
        <v>25</v>
      </c>
    </row>
    <row r="39" spans="1:17">
      <c r="A39" t="s">
        <v>17</v>
      </c>
      <c r="B39">
        <v>38</v>
      </c>
      <c r="C39" t="s">
        <v>18</v>
      </c>
      <c r="D39" t="s">
        <v>240</v>
      </c>
      <c r="E39" t="s">
        <v>153</v>
      </c>
      <c r="F39" t="s">
        <v>241</v>
      </c>
      <c r="G39" t="s">
        <v>242</v>
      </c>
      <c r="H39" t="s">
        <v>243</v>
      </c>
      <c r="I39">
        <v>835</v>
      </c>
      <c r="J39" t="s">
        <v>244</v>
      </c>
      <c r="K39">
        <v>1675</v>
      </c>
      <c r="L39">
        <v>28</v>
      </c>
      <c r="M39">
        <v>28</v>
      </c>
      <c r="N39">
        <v>24</v>
      </c>
      <c r="O39">
        <v>273891</v>
      </c>
      <c r="P39">
        <v>22</v>
      </c>
      <c r="Q39" t="s">
        <v>25</v>
      </c>
    </row>
    <row r="40" spans="1:17">
      <c r="A40" t="s">
        <v>17</v>
      </c>
      <c r="B40">
        <v>39</v>
      </c>
      <c r="C40" t="s">
        <v>18</v>
      </c>
      <c r="D40" t="s">
        <v>245</v>
      </c>
      <c r="E40" t="s">
        <v>246</v>
      </c>
      <c r="F40" t="s">
        <v>247</v>
      </c>
      <c r="G40" t="s">
        <v>248</v>
      </c>
      <c r="H40" t="s">
        <v>249</v>
      </c>
      <c r="I40">
        <v>548</v>
      </c>
      <c r="J40" t="s">
        <v>250</v>
      </c>
      <c r="K40">
        <v>2940</v>
      </c>
      <c r="L40">
        <v>13</v>
      </c>
      <c r="M40">
        <v>13</v>
      </c>
      <c r="N40">
        <v>19</v>
      </c>
      <c r="O40">
        <v>88361</v>
      </c>
      <c r="P40">
        <v>53</v>
      </c>
      <c r="Q40" t="s">
        <v>25</v>
      </c>
    </row>
    <row r="41" spans="1:17">
      <c r="A41" t="s">
        <v>17</v>
      </c>
      <c r="B41">
        <v>40</v>
      </c>
      <c r="C41" t="s">
        <v>18</v>
      </c>
      <c r="D41" t="s">
        <v>251</v>
      </c>
      <c r="E41" t="s">
        <v>252</v>
      </c>
      <c r="F41" t="s">
        <v>253</v>
      </c>
      <c r="G41" t="s">
        <v>254</v>
      </c>
      <c r="H41" t="s">
        <v>255</v>
      </c>
      <c r="I41">
        <v>602</v>
      </c>
      <c r="J41" t="s">
        <v>256</v>
      </c>
      <c r="K41">
        <v>288</v>
      </c>
      <c r="L41">
        <v>11</v>
      </c>
      <c r="M41">
        <v>11</v>
      </c>
      <c r="N41">
        <v>26</v>
      </c>
      <c r="O41">
        <v>90451</v>
      </c>
      <c r="P41">
        <v>17</v>
      </c>
      <c r="Q41" t="s">
        <v>25</v>
      </c>
    </row>
    <row r="42" spans="1:17">
      <c r="A42" t="s">
        <v>17</v>
      </c>
      <c r="B42">
        <v>41</v>
      </c>
      <c r="C42" t="s">
        <v>18</v>
      </c>
      <c r="D42" t="s">
        <v>257</v>
      </c>
      <c r="E42" t="s">
        <v>258</v>
      </c>
      <c r="F42" t="s">
        <v>259</v>
      </c>
      <c r="G42" t="s">
        <v>260</v>
      </c>
      <c r="H42" t="s">
        <v>261</v>
      </c>
      <c r="I42">
        <v>456</v>
      </c>
      <c r="J42" t="s">
        <v>262</v>
      </c>
      <c r="K42">
        <v>4685</v>
      </c>
      <c r="L42">
        <v>32</v>
      </c>
      <c r="M42">
        <v>32</v>
      </c>
      <c r="N42">
        <v>18</v>
      </c>
      <c r="O42">
        <v>54124</v>
      </c>
      <c r="P42">
        <v>10</v>
      </c>
      <c r="Q42" t="s">
        <v>44</v>
      </c>
    </row>
    <row r="43" spans="1:17">
      <c r="A43" t="s">
        <v>17</v>
      </c>
      <c r="B43">
        <v>42</v>
      </c>
      <c r="C43" t="s">
        <v>18</v>
      </c>
      <c r="D43" t="s">
        <v>263</v>
      </c>
      <c r="E43" t="s">
        <v>264</v>
      </c>
      <c r="F43" t="s">
        <v>265</v>
      </c>
      <c r="G43" t="s">
        <v>266</v>
      </c>
      <c r="H43" t="s">
        <v>267</v>
      </c>
      <c r="I43">
        <v>500</v>
      </c>
      <c r="J43" t="s">
        <v>268</v>
      </c>
      <c r="K43">
        <v>1222</v>
      </c>
      <c r="L43">
        <v>19</v>
      </c>
      <c r="M43">
        <v>19</v>
      </c>
      <c r="N43">
        <v>457</v>
      </c>
      <c r="O43">
        <v>1924864</v>
      </c>
      <c r="P43">
        <v>77</v>
      </c>
      <c r="Q43" t="s">
        <v>25</v>
      </c>
    </row>
    <row r="44" spans="1:17">
      <c r="A44" t="s">
        <v>17</v>
      </c>
      <c r="B44">
        <v>43</v>
      </c>
      <c r="C44" t="s">
        <v>18</v>
      </c>
      <c r="D44" t="s">
        <v>269</v>
      </c>
      <c r="E44" t="s">
        <v>270</v>
      </c>
      <c r="F44" t="s">
        <v>271</v>
      </c>
      <c r="G44" t="s">
        <v>272</v>
      </c>
      <c r="H44" t="s">
        <v>273</v>
      </c>
      <c r="I44">
        <v>245</v>
      </c>
      <c r="J44" t="s">
        <v>274</v>
      </c>
      <c r="K44">
        <v>8180</v>
      </c>
      <c r="L44">
        <v>16</v>
      </c>
      <c r="M44">
        <v>16</v>
      </c>
      <c r="N44">
        <v>96</v>
      </c>
      <c r="O44">
        <v>170337</v>
      </c>
      <c r="P44">
        <v>60</v>
      </c>
      <c r="Q44" t="s">
        <v>25</v>
      </c>
    </row>
    <row r="45" spans="1:17">
      <c r="A45" t="s">
        <v>17</v>
      </c>
      <c r="B45">
        <v>44</v>
      </c>
      <c r="C45" t="s">
        <v>18</v>
      </c>
      <c r="D45" t="s">
        <v>275</v>
      </c>
      <c r="E45" t="s">
        <v>276</v>
      </c>
      <c r="F45" t="s">
        <v>277</v>
      </c>
      <c r="G45" t="s">
        <v>278</v>
      </c>
      <c r="H45" t="s">
        <v>279</v>
      </c>
      <c r="I45">
        <v>164</v>
      </c>
      <c r="J45" t="s">
        <v>280</v>
      </c>
      <c r="K45">
        <v>1372</v>
      </c>
      <c r="L45">
        <v>38</v>
      </c>
      <c r="M45">
        <v>38</v>
      </c>
      <c r="N45">
        <v>187</v>
      </c>
      <c r="O45">
        <v>703282</v>
      </c>
      <c r="P45">
        <v>43</v>
      </c>
      <c r="Q45" t="s">
        <v>25</v>
      </c>
    </row>
    <row r="46" spans="1:17">
      <c r="A46" t="s">
        <v>17</v>
      </c>
      <c r="B46">
        <v>45</v>
      </c>
      <c r="C46" t="s">
        <v>18</v>
      </c>
      <c r="D46" t="s">
        <v>281</v>
      </c>
      <c r="E46" t="s">
        <v>282</v>
      </c>
      <c r="F46" t="s">
        <v>283</v>
      </c>
      <c r="G46" t="s">
        <v>284</v>
      </c>
      <c r="H46" t="s">
        <v>285</v>
      </c>
      <c r="I46">
        <v>58</v>
      </c>
      <c r="J46" t="s">
        <v>286</v>
      </c>
      <c r="K46">
        <v>873</v>
      </c>
      <c r="L46">
        <v>20</v>
      </c>
      <c r="M46">
        <v>20</v>
      </c>
      <c r="N46">
        <v>51</v>
      </c>
      <c r="O46">
        <v>112586</v>
      </c>
      <c r="P46">
        <v>50</v>
      </c>
      <c r="Q46" t="s">
        <v>25</v>
      </c>
    </row>
    <row r="47" spans="1:17">
      <c r="A47" t="s">
        <v>17</v>
      </c>
      <c r="B47">
        <v>46</v>
      </c>
      <c r="C47" t="s">
        <v>18</v>
      </c>
      <c r="D47" t="s">
        <v>287</v>
      </c>
      <c r="E47" t="s">
        <v>288</v>
      </c>
      <c r="F47" t="s">
        <v>289</v>
      </c>
      <c r="G47" t="s">
        <v>290</v>
      </c>
      <c r="H47" t="s">
        <v>291</v>
      </c>
      <c r="I47">
        <v>661</v>
      </c>
      <c r="J47" t="s">
        <v>292</v>
      </c>
      <c r="K47">
        <v>226</v>
      </c>
      <c r="L47">
        <v>14</v>
      </c>
      <c r="M47">
        <v>14</v>
      </c>
      <c r="N47">
        <v>9</v>
      </c>
      <c r="O47">
        <v>26731</v>
      </c>
      <c r="P47">
        <v>9</v>
      </c>
      <c r="Q47" t="s">
        <v>25</v>
      </c>
    </row>
    <row r="48" spans="1:17">
      <c r="A48" t="s">
        <v>17</v>
      </c>
      <c r="B48">
        <v>47</v>
      </c>
      <c r="C48" t="s">
        <v>18</v>
      </c>
      <c r="D48" t="s">
        <v>293</v>
      </c>
      <c r="E48" t="s">
        <v>294</v>
      </c>
      <c r="F48" t="s">
        <v>295</v>
      </c>
      <c r="G48" t="s">
        <v>296</v>
      </c>
      <c r="H48" t="s">
        <v>297</v>
      </c>
      <c r="I48">
        <v>411</v>
      </c>
      <c r="J48" t="s">
        <v>298</v>
      </c>
      <c r="K48">
        <v>2164</v>
      </c>
      <c r="L48">
        <v>9</v>
      </c>
      <c r="M48">
        <v>9</v>
      </c>
      <c r="N48">
        <v>34</v>
      </c>
      <c r="O48">
        <v>117659</v>
      </c>
      <c r="P48">
        <v>19</v>
      </c>
      <c r="Q48" t="s">
        <v>25</v>
      </c>
    </row>
    <row r="49" spans="1:17">
      <c r="A49" t="s">
        <v>17</v>
      </c>
      <c r="B49">
        <v>48</v>
      </c>
      <c r="C49" t="s">
        <v>18</v>
      </c>
      <c r="D49" t="s">
        <v>299</v>
      </c>
      <c r="E49" t="s">
        <v>300</v>
      </c>
      <c r="F49" t="s">
        <v>301</v>
      </c>
      <c r="G49" t="s">
        <v>302</v>
      </c>
      <c r="H49" t="s">
        <v>303</v>
      </c>
      <c r="I49">
        <v>648</v>
      </c>
      <c r="J49" t="s">
        <v>304</v>
      </c>
      <c r="K49">
        <v>13890</v>
      </c>
      <c r="L49">
        <v>8</v>
      </c>
      <c r="M49">
        <v>8</v>
      </c>
      <c r="N49">
        <v>81</v>
      </c>
      <c r="O49">
        <v>410652</v>
      </c>
      <c r="P49">
        <v>68</v>
      </c>
      <c r="Q49" t="s">
        <v>25</v>
      </c>
    </row>
    <row r="50" spans="1:17">
      <c r="A50" t="s">
        <v>17</v>
      </c>
      <c r="B50">
        <v>49</v>
      </c>
      <c r="C50" t="s">
        <v>18</v>
      </c>
      <c r="D50" t="s">
        <v>305</v>
      </c>
      <c r="E50" t="s">
        <v>33</v>
      </c>
      <c r="F50" t="s">
        <v>306</v>
      </c>
      <c r="G50" t="s">
        <v>307</v>
      </c>
      <c r="H50" t="s">
        <v>308</v>
      </c>
      <c r="I50">
        <v>422</v>
      </c>
      <c r="J50" t="s">
        <v>309</v>
      </c>
      <c r="K50">
        <v>1714</v>
      </c>
      <c r="L50">
        <v>6</v>
      </c>
      <c r="M50">
        <v>6</v>
      </c>
      <c r="N50">
        <v>31</v>
      </c>
      <c r="O50">
        <v>94015</v>
      </c>
      <c r="P50">
        <v>31</v>
      </c>
      <c r="Q50" t="s">
        <v>25</v>
      </c>
    </row>
    <row r="51" spans="1:17">
      <c r="A51" t="s">
        <v>17</v>
      </c>
      <c r="B51">
        <v>50</v>
      </c>
      <c r="C51" t="s">
        <v>18</v>
      </c>
      <c r="D51" t="s">
        <v>310</v>
      </c>
      <c r="E51" t="s">
        <v>311</v>
      </c>
      <c r="F51" t="s">
        <v>312</v>
      </c>
      <c r="G51" t="s">
        <v>313</v>
      </c>
      <c r="H51" t="s">
        <v>314</v>
      </c>
      <c r="I51">
        <v>288</v>
      </c>
      <c r="J51" t="s">
        <v>315</v>
      </c>
      <c r="K51">
        <v>387</v>
      </c>
      <c r="L51">
        <v>31</v>
      </c>
      <c r="M51">
        <v>31</v>
      </c>
      <c r="N51">
        <v>28</v>
      </c>
      <c r="O51">
        <v>69182</v>
      </c>
      <c r="P51">
        <v>27</v>
      </c>
      <c r="Q51" t="s">
        <v>25</v>
      </c>
    </row>
    <row r="52" spans="1:17">
      <c r="A52" t="s">
        <v>17</v>
      </c>
      <c r="B52">
        <v>51</v>
      </c>
      <c r="C52" t="s">
        <v>18</v>
      </c>
      <c r="D52" t="s">
        <v>316</v>
      </c>
      <c r="E52" t="s">
        <v>317</v>
      </c>
      <c r="F52" t="s">
        <v>318</v>
      </c>
      <c r="G52" t="s">
        <v>319</v>
      </c>
      <c r="H52" t="s">
        <v>320</v>
      </c>
      <c r="I52">
        <v>879</v>
      </c>
      <c r="J52" t="s">
        <v>321</v>
      </c>
      <c r="K52">
        <v>1544</v>
      </c>
      <c r="L52">
        <v>6</v>
      </c>
      <c r="M52">
        <v>6</v>
      </c>
      <c r="N52">
        <v>62</v>
      </c>
      <c r="O52">
        <v>203862</v>
      </c>
      <c r="P52">
        <v>36</v>
      </c>
      <c r="Q52" t="s">
        <v>25</v>
      </c>
    </row>
    <row r="53" spans="1:17">
      <c r="A53" t="s">
        <v>17</v>
      </c>
      <c r="B53">
        <v>52</v>
      </c>
      <c r="C53" t="s">
        <v>18</v>
      </c>
      <c r="D53" t="s">
        <v>322</v>
      </c>
      <c r="E53" t="s">
        <v>323</v>
      </c>
      <c r="F53" t="s">
        <v>324</v>
      </c>
      <c r="G53" t="s">
        <v>325</v>
      </c>
      <c r="H53" t="s">
        <v>326</v>
      </c>
      <c r="I53">
        <v>577</v>
      </c>
      <c r="J53" t="s">
        <v>327</v>
      </c>
      <c r="K53">
        <v>320</v>
      </c>
      <c r="L53">
        <v>8</v>
      </c>
      <c r="M53">
        <v>8</v>
      </c>
      <c r="N53">
        <v>19</v>
      </c>
      <c r="O53">
        <v>61102</v>
      </c>
      <c r="P53">
        <v>17</v>
      </c>
      <c r="Q53" t="s">
        <v>25</v>
      </c>
    </row>
    <row r="54" spans="1:17">
      <c r="A54" t="s">
        <v>17</v>
      </c>
      <c r="B54">
        <v>53</v>
      </c>
      <c r="C54" t="s">
        <v>18</v>
      </c>
      <c r="D54" t="s">
        <v>328</v>
      </c>
      <c r="E54" t="s">
        <v>329</v>
      </c>
      <c r="F54" t="s">
        <v>330</v>
      </c>
      <c r="G54" t="s">
        <v>331</v>
      </c>
      <c r="H54" t="s">
        <v>332</v>
      </c>
      <c r="I54">
        <v>123</v>
      </c>
      <c r="J54" t="s">
        <v>333</v>
      </c>
      <c r="K54">
        <v>181</v>
      </c>
      <c r="L54">
        <v>18</v>
      </c>
      <c r="M54">
        <v>18</v>
      </c>
      <c r="N54">
        <v>39</v>
      </c>
      <c r="O54">
        <v>102415</v>
      </c>
      <c r="P54">
        <v>18</v>
      </c>
      <c r="Q54" t="s">
        <v>25</v>
      </c>
    </row>
    <row r="55" spans="1:17">
      <c r="A55" t="s">
        <v>17</v>
      </c>
      <c r="B55">
        <v>54</v>
      </c>
      <c r="C55" t="s">
        <v>18</v>
      </c>
      <c r="D55" t="s">
        <v>334</v>
      </c>
      <c r="E55" t="s">
        <v>335</v>
      </c>
      <c r="F55" t="s">
        <v>336</v>
      </c>
      <c r="G55" t="s">
        <v>337</v>
      </c>
      <c r="H55" t="s">
        <v>338</v>
      </c>
      <c r="I55">
        <v>517</v>
      </c>
      <c r="J55" t="s">
        <v>339</v>
      </c>
      <c r="K55">
        <v>320</v>
      </c>
      <c r="L55">
        <v>9</v>
      </c>
      <c r="M55">
        <v>9</v>
      </c>
      <c r="N55">
        <v>23</v>
      </c>
      <c r="O55">
        <v>50364</v>
      </c>
      <c r="P55">
        <v>22</v>
      </c>
      <c r="Q55" t="s">
        <v>25</v>
      </c>
    </row>
    <row r="56" spans="1:17">
      <c r="A56" t="s">
        <v>17</v>
      </c>
      <c r="B56">
        <v>55</v>
      </c>
      <c r="C56" t="s">
        <v>18</v>
      </c>
      <c r="D56" t="s">
        <v>340</v>
      </c>
      <c r="E56" t="s">
        <v>341</v>
      </c>
      <c r="F56" t="s">
        <v>342</v>
      </c>
      <c r="G56" t="s">
        <v>343</v>
      </c>
      <c r="H56" t="s">
        <v>344</v>
      </c>
      <c r="I56">
        <v>785</v>
      </c>
      <c r="J56" t="s">
        <v>345</v>
      </c>
      <c r="K56">
        <v>55747</v>
      </c>
      <c r="L56">
        <v>11</v>
      </c>
      <c r="M56">
        <v>11</v>
      </c>
      <c r="N56">
        <v>284</v>
      </c>
      <c r="O56">
        <v>1799688</v>
      </c>
      <c r="P56">
        <v>1188</v>
      </c>
      <c r="Q56" t="s">
        <v>25</v>
      </c>
    </row>
    <row r="57" spans="1:17">
      <c r="A57" t="s">
        <v>17</v>
      </c>
      <c r="B57">
        <v>56</v>
      </c>
      <c r="C57" t="s">
        <v>18</v>
      </c>
      <c r="D57" t="s">
        <v>346</v>
      </c>
      <c r="E57" t="s">
        <v>347</v>
      </c>
      <c r="F57" t="s">
        <v>348</v>
      </c>
      <c r="G57" t="s">
        <v>349</v>
      </c>
      <c r="H57" t="s">
        <v>350</v>
      </c>
      <c r="I57">
        <v>586</v>
      </c>
      <c r="J57" t="s">
        <v>351</v>
      </c>
      <c r="K57">
        <v>86</v>
      </c>
      <c r="L57">
        <v>9</v>
      </c>
      <c r="M57">
        <v>9</v>
      </c>
      <c r="N57">
        <v>25</v>
      </c>
      <c r="O57">
        <v>57894</v>
      </c>
      <c r="P57">
        <v>6</v>
      </c>
      <c r="Q57" t="s">
        <v>25</v>
      </c>
    </row>
    <row r="58" spans="1:17">
      <c r="A58" t="s">
        <v>17</v>
      </c>
      <c r="B58">
        <v>57</v>
      </c>
      <c r="C58" t="s">
        <v>18</v>
      </c>
      <c r="D58" t="s">
        <v>352</v>
      </c>
      <c r="E58" t="s">
        <v>353</v>
      </c>
      <c r="F58" t="s">
        <v>354</v>
      </c>
      <c r="G58" t="s">
        <v>355</v>
      </c>
      <c r="H58" t="s">
        <v>356</v>
      </c>
      <c r="I58">
        <v>589</v>
      </c>
      <c r="J58" t="s">
        <v>357</v>
      </c>
      <c r="K58">
        <v>128</v>
      </c>
      <c r="L58">
        <v>7</v>
      </c>
      <c r="M58">
        <v>7</v>
      </c>
      <c r="N58">
        <v>106</v>
      </c>
      <c r="O58">
        <v>205481</v>
      </c>
      <c r="P58">
        <v>30</v>
      </c>
      <c r="Q58" t="s">
        <v>25</v>
      </c>
    </row>
    <row r="59" spans="1:17">
      <c r="A59" t="s">
        <v>17</v>
      </c>
      <c r="B59">
        <v>58</v>
      </c>
      <c r="C59" t="s">
        <v>18</v>
      </c>
      <c r="D59" t="s">
        <v>358</v>
      </c>
      <c r="E59" t="s">
        <v>359</v>
      </c>
      <c r="F59" t="s">
        <v>360</v>
      </c>
      <c r="G59" t="s">
        <v>361</v>
      </c>
      <c r="H59" t="s">
        <v>362</v>
      </c>
      <c r="I59">
        <v>249</v>
      </c>
      <c r="J59" t="s">
        <v>363</v>
      </c>
      <c r="K59">
        <v>249</v>
      </c>
      <c r="L59">
        <v>9</v>
      </c>
      <c r="M59">
        <v>9</v>
      </c>
      <c r="N59">
        <v>15</v>
      </c>
      <c r="O59">
        <v>43502</v>
      </c>
      <c r="P59">
        <v>29</v>
      </c>
      <c r="Q59" t="s">
        <v>25</v>
      </c>
    </row>
    <row r="60" spans="1:17">
      <c r="A60" t="s">
        <v>17</v>
      </c>
      <c r="B60">
        <v>59</v>
      </c>
      <c r="C60" t="s">
        <v>18</v>
      </c>
      <c r="D60" t="s">
        <v>364</v>
      </c>
      <c r="E60" t="s">
        <v>153</v>
      </c>
      <c r="F60" t="s">
        <v>365</v>
      </c>
      <c r="G60" t="s">
        <v>366</v>
      </c>
      <c r="H60" t="s">
        <v>367</v>
      </c>
      <c r="I60">
        <v>1188</v>
      </c>
      <c r="J60" t="s">
        <v>368</v>
      </c>
      <c r="K60">
        <v>977</v>
      </c>
      <c r="L60">
        <v>9</v>
      </c>
      <c r="M60">
        <v>9</v>
      </c>
      <c r="N60">
        <v>41</v>
      </c>
      <c r="O60">
        <v>457981</v>
      </c>
      <c r="P60">
        <v>37</v>
      </c>
      <c r="Q60" t="s">
        <v>25</v>
      </c>
    </row>
    <row r="61" spans="1:17">
      <c r="A61" t="s">
        <v>17</v>
      </c>
      <c r="B61">
        <v>60</v>
      </c>
      <c r="C61" t="s">
        <v>18</v>
      </c>
      <c r="D61" t="s">
        <v>369</v>
      </c>
      <c r="E61" t="s">
        <v>370</v>
      </c>
      <c r="F61" t="s">
        <v>371</v>
      </c>
      <c r="G61" t="s">
        <v>372</v>
      </c>
      <c r="H61" t="s">
        <v>373</v>
      </c>
      <c r="I61">
        <v>674</v>
      </c>
      <c r="J61" t="s">
        <v>374</v>
      </c>
      <c r="K61">
        <v>32784</v>
      </c>
      <c r="L61">
        <v>33</v>
      </c>
      <c r="M61">
        <v>33</v>
      </c>
      <c r="N61">
        <v>212</v>
      </c>
      <c r="O61">
        <v>960297</v>
      </c>
      <c r="P61">
        <v>511</v>
      </c>
      <c r="Q61" t="s">
        <v>25</v>
      </c>
    </row>
    <row r="62" spans="1:17">
      <c r="A62" t="s">
        <v>17</v>
      </c>
      <c r="B62">
        <v>61</v>
      </c>
      <c r="C62" t="s">
        <v>18</v>
      </c>
      <c r="D62" t="s">
        <v>375</v>
      </c>
      <c r="E62" t="s">
        <v>64</v>
      </c>
      <c r="F62" t="s">
        <v>376</v>
      </c>
      <c r="G62" t="s">
        <v>377</v>
      </c>
      <c r="H62" t="s">
        <v>378</v>
      </c>
      <c r="I62">
        <v>444</v>
      </c>
      <c r="J62" t="s">
        <v>379</v>
      </c>
      <c r="K62">
        <v>149</v>
      </c>
      <c r="L62">
        <v>5</v>
      </c>
      <c r="M62">
        <v>5</v>
      </c>
      <c r="N62">
        <v>20</v>
      </c>
      <c r="O62">
        <v>136328</v>
      </c>
      <c r="P62">
        <v>12</v>
      </c>
      <c r="Q62" t="s">
        <v>25</v>
      </c>
    </row>
    <row r="63" spans="1:17">
      <c r="A63" t="s">
        <v>17</v>
      </c>
      <c r="B63">
        <v>62</v>
      </c>
      <c r="C63" t="s">
        <v>18</v>
      </c>
      <c r="D63" t="s">
        <v>380</v>
      </c>
      <c r="E63" t="s">
        <v>381</v>
      </c>
      <c r="F63" t="s">
        <v>382</v>
      </c>
      <c r="G63" t="s">
        <v>383</v>
      </c>
      <c r="H63" t="s">
        <v>384</v>
      </c>
      <c r="I63">
        <v>409</v>
      </c>
      <c r="J63" t="s">
        <v>385</v>
      </c>
      <c r="K63">
        <v>315</v>
      </c>
      <c r="L63">
        <v>9</v>
      </c>
      <c r="M63">
        <v>9</v>
      </c>
      <c r="N63">
        <v>25</v>
      </c>
      <c r="O63">
        <v>56085</v>
      </c>
      <c r="P63">
        <v>23</v>
      </c>
      <c r="Q63" t="s">
        <v>25</v>
      </c>
    </row>
    <row r="64" spans="1:17">
      <c r="A64" t="s">
        <v>17</v>
      </c>
      <c r="B64">
        <v>63</v>
      </c>
      <c r="C64" t="s">
        <v>18</v>
      </c>
      <c r="D64" t="s">
        <v>386</v>
      </c>
      <c r="E64" t="s">
        <v>387</v>
      </c>
      <c r="F64" t="s">
        <v>388</v>
      </c>
      <c r="G64" t="s">
        <v>389</v>
      </c>
      <c r="H64" t="s">
        <v>390</v>
      </c>
      <c r="I64">
        <v>377</v>
      </c>
      <c r="J64" t="s">
        <v>391</v>
      </c>
      <c r="K64">
        <v>8631</v>
      </c>
      <c r="L64">
        <v>9</v>
      </c>
      <c r="M64">
        <v>9</v>
      </c>
      <c r="N64">
        <v>135</v>
      </c>
      <c r="O64">
        <v>808268</v>
      </c>
      <c r="P64">
        <v>517</v>
      </c>
      <c r="Q64" t="s">
        <v>25</v>
      </c>
    </row>
    <row r="65" spans="1:17">
      <c r="A65" t="s">
        <v>17</v>
      </c>
      <c r="B65">
        <v>64</v>
      </c>
      <c r="C65" t="s">
        <v>18</v>
      </c>
      <c r="D65" t="s">
        <v>392</v>
      </c>
      <c r="E65" t="s">
        <v>393</v>
      </c>
      <c r="F65" t="s">
        <v>394</v>
      </c>
      <c r="G65" t="s">
        <v>395</v>
      </c>
      <c r="H65" t="s">
        <v>396</v>
      </c>
      <c r="I65">
        <v>212</v>
      </c>
      <c r="J65" t="s">
        <v>397</v>
      </c>
      <c r="K65">
        <v>1270</v>
      </c>
      <c r="L65">
        <v>23</v>
      </c>
      <c r="M65">
        <v>23</v>
      </c>
      <c r="N65">
        <v>134</v>
      </c>
      <c r="O65">
        <v>468452</v>
      </c>
      <c r="P65">
        <v>132</v>
      </c>
      <c r="Q65" t="s">
        <v>25</v>
      </c>
    </row>
    <row r="66" spans="1:17">
      <c r="A66" t="s">
        <v>17</v>
      </c>
      <c r="B66">
        <v>65</v>
      </c>
      <c r="C66" t="s">
        <v>18</v>
      </c>
      <c r="D66" t="s">
        <v>398</v>
      </c>
      <c r="E66" t="s">
        <v>399</v>
      </c>
      <c r="F66" t="s">
        <v>400</v>
      </c>
      <c r="G66" t="s">
        <v>401</v>
      </c>
      <c r="H66" t="s">
        <v>402</v>
      </c>
      <c r="I66">
        <v>782</v>
      </c>
      <c r="J66" t="s">
        <v>403</v>
      </c>
      <c r="K66">
        <v>500</v>
      </c>
      <c r="L66">
        <v>4</v>
      </c>
      <c r="M66">
        <v>4</v>
      </c>
      <c r="N66">
        <v>315</v>
      </c>
      <c r="O66">
        <v>743573</v>
      </c>
      <c r="P66">
        <v>39</v>
      </c>
      <c r="Q66" t="s">
        <v>25</v>
      </c>
    </row>
    <row r="67" spans="1:17">
      <c r="A67" t="s">
        <v>17</v>
      </c>
      <c r="B67">
        <v>66</v>
      </c>
      <c r="C67" t="s">
        <v>18</v>
      </c>
      <c r="D67" t="s">
        <v>404</v>
      </c>
      <c r="E67" t="s">
        <v>270</v>
      </c>
      <c r="F67" t="s">
        <v>405</v>
      </c>
      <c r="G67" t="s">
        <v>406</v>
      </c>
      <c r="H67" t="s">
        <v>407</v>
      </c>
      <c r="I67">
        <v>421</v>
      </c>
      <c r="J67" t="s">
        <v>408</v>
      </c>
      <c r="K67">
        <v>2868</v>
      </c>
      <c r="L67">
        <v>8</v>
      </c>
      <c r="M67">
        <v>8</v>
      </c>
      <c r="N67">
        <v>117</v>
      </c>
      <c r="O67">
        <v>250340</v>
      </c>
      <c r="P67">
        <v>68</v>
      </c>
      <c r="Q67" t="s">
        <v>25</v>
      </c>
    </row>
    <row r="68" spans="1:17">
      <c r="A68" t="s">
        <v>17</v>
      </c>
      <c r="B68">
        <v>67</v>
      </c>
      <c r="C68" t="s">
        <v>18</v>
      </c>
      <c r="D68" t="s">
        <v>409</v>
      </c>
      <c r="E68" t="s">
        <v>410</v>
      </c>
      <c r="F68" t="s">
        <v>411</v>
      </c>
      <c r="G68" t="s">
        <v>412</v>
      </c>
      <c r="H68" t="s">
        <v>413</v>
      </c>
      <c r="I68">
        <v>324</v>
      </c>
      <c r="J68" t="s">
        <v>414</v>
      </c>
      <c r="K68">
        <v>1886</v>
      </c>
      <c r="L68">
        <v>16</v>
      </c>
      <c r="M68">
        <v>16</v>
      </c>
      <c r="N68">
        <v>48</v>
      </c>
      <c r="O68">
        <v>165252</v>
      </c>
      <c r="P68">
        <v>88</v>
      </c>
      <c r="Q68" t="s">
        <v>25</v>
      </c>
    </row>
    <row r="69" spans="1:17">
      <c r="A69" t="s">
        <v>17</v>
      </c>
      <c r="B69">
        <v>68</v>
      </c>
      <c r="C69" t="s">
        <v>18</v>
      </c>
      <c r="D69" t="s">
        <v>415</v>
      </c>
      <c r="E69" t="s">
        <v>416</v>
      </c>
      <c r="F69" t="s">
        <v>417</v>
      </c>
      <c r="G69" t="s">
        <v>418</v>
      </c>
      <c r="H69" t="s">
        <v>419</v>
      </c>
      <c r="I69">
        <v>280</v>
      </c>
      <c r="J69" t="s">
        <v>420</v>
      </c>
      <c r="K69">
        <v>231</v>
      </c>
      <c r="L69">
        <v>11</v>
      </c>
      <c r="M69">
        <v>11</v>
      </c>
      <c r="N69">
        <v>20</v>
      </c>
      <c r="O69">
        <v>65628</v>
      </c>
      <c r="P69">
        <v>18</v>
      </c>
      <c r="Q69" t="s">
        <v>25</v>
      </c>
    </row>
    <row r="70" spans="1:17">
      <c r="A70" t="s">
        <v>17</v>
      </c>
      <c r="B70">
        <v>69</v>
      </c>
      <c r="C70" t="s">
        <v>18</v>
      </c>
      <c r="D70" t="s">
        <v>421</v>
      </c>
      <c r="E70" t="s">
        <v>422</v>
      </c>
      <c r="F70" t="s">
        <v>423</v>
      </c>
      <c r="G70" t="s">
        <v>424</v>
      </c>
      <c r="H70" t="s">
        <v>425</v>
      </c>
      <c r="I70">
        <v>499</v>
      </c>
      <c r="J70" t="s">
        <v>426</v>
      </c>
      <c r="K70">
        <v>260</v>
      </c>
      <c r="L70">
        <v>5</v>
      </c>
      <c r="M70">
        <v>5</v>
      </c>
      <c r="N70">
        <v>23</v>
      </c>
      <c r="O70">
        <v>93118</v>
      </c>
      <c r="P70">
        <v>24</v>
      </c>
      <c r="Q70" t="s">
        <v>25</v>
      </c>
    </row>
    <row r="71" spans="1:17">
      <c r="A71" t="s">
        <v>17</v>
      </c>
      <c r="B71">
        <v>70</v>
      </c>
      <c r="C71" t="s">
        <v>18</v>
      </c>
      <c r="D71" t="s">
        <v>427</v>
      </c>
      <c r="E71" t="s">
        <v>428</v>
      </c>
      <c r="F71" t="s">
        <v>429</v>
      </c>
      <c r="G71" t="s">
        <v>430</v>
      </c>
      <c r="H71" t="s">
        <v>431</v>
      </c>
      <c r="I71">
        <v>420</v>
      </c>
      <c r="J71" t="s">
        <v>432</v>
      </c>
      <c r="K71">
        <v>85</v>
      </c>
      <c r="L71">
        <v>24</v>
      </c>
      <c r="M71">
        <v>24</v>
      </c>
      <c r="N71">
        <v>6</v>
      </c>
      <c r="O71">
        <v>9993</v>
      </c>
      <c r="P71">
        <v>5</v>
      </c>
      <c r="Q71" t="s">
        <v>25</v>
      </c>
    </row>
    <row r="72" spans="1:17">
      <c r="A72" t="s">
        <v>17</v>
      </c>
      <c r="B72">
        <v>71</v>
      </c>
      <c r="C72" t="s">
        <v>18</v>
      </c>
      <c r="D72" t="s">
        <v>433</v>
      </c>
      <c r="E72" t="s">
        <v>434</v>
      </c>
      <c r="F72" t="s">
        <v>435</v>
      </c>
      <c r="G72" t="s">
        <v>436</v>
      </c>
      <c r="H72" t="s">
        <v>437</v>
      </c>
      <c r="I72">
        <v>202</v>
      </c>
      <c r="J72" t="s">
        <v>438</v>
      </c>
      <c r="K72">
        <v>695</v>
      </c>
      <c r="L72">
        <v>0</v>
      </c>
      <c r="M72">
        <v>0</v>
      </c>
      <c r="N72">
        <v>9</v>
      </c>
      <c r="O72">
        <v>31962</v>
      </c>
      <c r="P72">
        <v>8</v>
      </c>
      <c r="Q72" t="s">
        <v>25</v>
      </c>
    </row>
    <row r="73" spans="1:17">
      <c r="A73" t="s">
        <v>17</v>
      </c>
      <c r="B73">
        <v>72</v>
      </c>
      <c r="C73" t="s">
        <v>18</v>
      </c>
      <c r="D73" t="s">
        <v>439</v>
      </c>
      <c r="E73" t="s">
        <v>440</v>
      </c>
      <c r="F73" t="s">
        <v>441</v>
      </c>
      <c r="G73" t="s">
        <v>442</v>
      </c>
      <c r="H73" t="s">
        <v>443</v>
      </c>
      <c r="I73">
        <v>227</v>
      </c>
      <c r="J73" t="s">
        <v>444</v>
      </c>
      <c r="K73">
        <v>23452</v>
      </c>
      <c r="L73">
        <v>3</v>
      </c>
      <c r="M73">
        <v>3</v>
      </c>
      <c r="N73">
        <v>301</v>
      </c>
      <c r="O73">
        <v>910312</v>
      </c>
      <c r="P73">
        <v>527</v>
      </c>
      <c r="Q73" t="s">
        <v>25</v>
      </c>
    </row>
    <row r="74" spans="1:17">
      <c r="A74" t="s">
        <v>17</v>
      </c>
      <c r="B74">
        <v>73</v>
      </c>
      <c r="C74" t="s">
        <v>18</v>
      </c>
      <c r="D74" t="s">
        <v>445</v>
      </c>
      <c r="E74" t="s">
        <v>82</v>
      </c>
      <c r="F74" t="s">
        <v>446</v>
      </c>
      <c r="G74" t="s">
        <v>447</v>
      </c>
      <c r="H74" t="s">
        <v>448</v>
      </c>
      <c r="I74">
        <v>364</v>
      </c>
      <c r="J74" t="s">
        <v>449</v>
      </c>
      <c r="K74">
        <v>9179</v>
      </c>
      <c r="L74">
        <v>8</v>
      </c>
      <c r="M74">
        <v>8</v>
      </c>
      <c r="N74">
        <v>72</v>
      </c>
      <c r="O74">
        <v>279191</v>
      </c>
      <c r="P74">
        <v>102</v>
      </c>
      <c r="Q74" t="s">
        <v>25</v>
      </c>
    </row>
    <row r="75" spans="1:17">
      <c r="A75" t="s">
        <v>17</v>
      </c>
      <c r="B75">
        <v>74</v>
      </c>
      <c r="C75" t="s">
        <v>18</v>
      </c>
      <c r="D75" t="s">
        <v>450</v>
      </c>
      <c r="E75" t="s">
        <v>451</v>
      </c>
      <c r="F75" t="s">
        <v>452</v>
      </c>
      <c r="G75" t="s">
        <v>453</v>
      </c>
      <c r="H75" t="s">
        <v>454</v>
      </c>
      <c r="I75">
        <v>575</v>
      </c>
      <c r="J75" t="s">
        <v>455</v>
      </c>
      <c r="K75">
        <v>116</v>
      </c>
      <c r="L75">
        <v>18</v>
      </c>
      <c r="M75">
        <v>18</v>
      </c>
      <c r="N75">
        <v>8</v>
      </c>
      <c r="O75">
        <v>13798</v>
      </c>
      <c r="P75">
        <v>7</v>
      </c>
      <c r="Q75" t="s">
        <v>25</v>
      </c>
    </row>
    <row r="76" spans="1:17">
      <c r="A76" t="s">
        <v>17</v>
      </c>
      <c r="B76">
        <v>75</v>
      </c>
      <c r="C76" t="s">
        <v>18</v>
      </c>
      <c r="D76" t="s">
        <v>456</v>
      </c>
      <c r="E76" t="s">
        <v>457</v>
      </c>
      <c r="F76" t="s">
        <v>458</v>
      </c>
      <c r="G76" t="s">
        <v>459</v>
      </c>
      <c r="H76" t="s">
        <v>460</v>
      </c>
      <c r="I76">
        <v>690</v>
      </c>
      <c r="J76" t="s">
        <v>461</v>
      </c>
      <c r="K76">
        <v>225</v>
      </c>
      <c r="L76">
        <v>8</v>
      </c>
      <c r="M76">
        <v>8</v>
      </c>
      <c r="N76">
        <v>22</v>
      </c>
      <c r="O76">
        <v>72521</v>
      </c>
      <c r="P76">
        <v>19</v>
      </c>
      <c r="Q76" t="s">
        <v>25</v>
      </c>
    </row>
    <row r="77" spans="1:17">
      <c r="A77" t="s">
        <v>17</v>
      </c>
      <c r="B77">
        <v>76</v>
      </c>
      <c r="C77" t="s">
        <v>18</v>
      </c>
      <c r="D77" t="s">
        <v>462</v>
      </c>
      <c r="E77" t="s">
        <v>463</v>
      </c>
      <c r="F77" t="s">
        <v>464</v>
      </c>
      <c r="G77" t="s">
        <v>465</v>
      </c>
      <c r="H77" t="s">
        <v>466</v>
      </c>
      <c r="I77">
        <v>373</v>
      </c>
      <c r="J77" t="s">
        <v>467</v>
      </c>
      <c r="K77">
        <v>7719</v>
      </c>
      <c r="L77">
        <v>21</v>
      </c>
      <c r="M77">
        <v>21</v>
      </c>
      <c r="N77">
        <v>62</v>
      </c>
      <c r="O77">
        <v>300099</v>
      </c>
      <c r="P77">
        <v>159</v>
      </c>
      <c r="Q77" t="s">
        <v>25</v>
      </c>
    </row>
    <row r="78" spans="1:17">
      <c r="A78" t="s">
        <v>17</v>
      </c>
      <c r="B78">
        <v>77</v>
      </c>
      <c r="C78" t="s">
        <v>18</v>
      </c>
      <c r="D78" t="s">
        <v>468</v>
      </c>
      <c r="E78" t="s">
        <v>469</v>
      </c>
      <c r="F78" t="s">
        <v>470</v>
      </c>
      <c r="G78" t="s">
        <v>471</v>
      </c>
      <c r="H78" t="s">
        <v>472</v>
      </c>
      <c r="I78">
        <v>245</v>
      </c>
      <c r="J78" t="s">
        <v>473</v>
      </c>
      <c r="K78">
        <v>4617</v>
      </c>
      <c r="L78">
        <v>12</v>
      </c>
      <c r="M78">
        <v>12</v>
      </c>
      <c r="N78">
        <v>344</v>
      </c>
      <c r="O78">
        <v>1252814</v>
      </c>
      <c r="P78">
        <v>337</v>
      </c>
      <c r="Q78" t="s">
        <v>25</v>
      </c>
    </row>
    <row r="79" spans="1:17">
      <c r="A79" t="s">
        <v>17</v>
      </c>
      <c r="B79">
        <v>78</v>
      </c>
      <c r="C79" t="s">
        <v>474</v>
      </c>
      <c r="D79" t="s">
        <v>475</v>
      </c>
      <c r="E79" t="s">
        <v>264</v>
      </c>
      <c r="F79" t="s">
        <v>476</v>
      </c>
      <c r="G79" t="s">
        <v>477</v>
      </c>
      <c r="H79" t="s">
        <v>478</v>
      </c>
      <c r="I79">
        <v>266</v>
      </c>
      <c r="J79" t="s">
        <v>479</v>
      </c>
      <c r="K79">
        <v>203</v>
      </c>
      <c r="N79">
        <v>76</v>
      </c>
      <c r="O79">
        <v>342955</v>
      </c>
      <c r="P79">
        <v>6</v>
      </c>
      <c r="Q79" t="s">
        <v>44</v>
      </c>
    </row>
    <row r="80" spans="1:17">
      <c r="A80" t="s">
        <v>17</v>
      </c>
      <c r="B80">
        <v>79</v>
      </c>
      <c r="C80" t="s">
        <v>18</v>
      </c>
      <c r="D80" t="s">
        <v>480</v>
      </c>
      <c r="E80" t="s">
        <v>481</v>
      </c>
      <c r="F80" t="s">
        <v>482</v>
      </c>
      <c r="G80" t="s">
        <v>483</v>
      </c>
      <c r="H80" t="s">
        <v>484</v>
      </c>
      <c r="I80">
        <v>246</v>
      </c>
      <c r="J80" t="s">
        <v>485</v>
      </c>
      <c r="K80">
        <v>206</v>
      </c>
      <c r="L80">
        <v>11</v>
      </c>
      <c r="M80">
        <v>11</v>
      </c>
      <c r="N80">
        <v>52</v>
      </c>
      <c r="O80">
        <v>213137</v>
      </c>
      <c r="P80">
        <v>41</v>
      </c>
      <c r="Q80" t="s">
        <v>25</v>
      </c>
    </row>
    <row r="81" spans="1:17">
      <c r="A81" t="s">
        <v>17</v>
      </c>
      <c r="B81">
        <v>80</v>
      </c>
      <c r="C81" t="s">
        <v>18</v>
      </c>
      <c r="D81" t="s">
        <v>486</v>
      </c>
      <c r="E81" t="s">
        <v>117</v>
      </c>
      <c r="F81" t="s">
        <v>487</v>
      </c>
      <c r="G81" t="s">
        <v>488</v>
      </c>
      <c r="H81" t="s">
        <v>489</v>
      </c>
      <c r="I81">
        <v>471</v>
      </c>
      <c r="J81" t="s">
        <v>490</v>
      </c>
      <c r="K81">
        <v>80</v>
      </c>
      <c r="L81">
        <v>4</v>
      </c>
      <c r="M81">
        <v>4</v>
      </c>
      <c r="N81">
        <v>13</v>
      </c>
      <c r="O81">
        <v>63841</v>
      </c>
      <c r="P81">
        <v>5</v>
      </c>
      <c r="Q81" t="s">
        <v>25</v>
      </c>
    </row>
    <row r="82" spans="1:17">
      <c r="A82" t="s">
        <v>17</v>
      </c>
      <c r="B82">
        <v>81</v>
      </c>
      <c r="C82" t="s">
        <v>18</v>
      </c>
      <c r="D82" t="s">
        <v>491</v>
      </c>
      <c r="E82" t="s">
        <v>492</v>
      </c>
      <c r="F82" t="s">
        <v>493</v>
      </c>
      <c r="G82" t="s">
        <v>494</v>
      </c>
      <c r="H82" t="s">
        <v>495</v>
      </c>
      <c r="I82">
        <v>684</v>
      </c>
      <c r="J82" t="s">
        <v>496</v>
      </c>
      <c r="K82">
        <v>1001</v>
      </c>
      <c r="L82">
        <v>15</v>
      </c>
      <c r="M82">
        <v>15</v>
      </c>
      <c r="N82">
        <v>73</v>
      </c>
      <c r="O82">
        <v>495735</v>
      </c>
      <c r="P82">
        <v>58</v>
      </c>
      <c r="Q82" t="s">
        <v>25</v>
      </c>
    </row>
    <row r="83" spans="1:17">
      <c r="A83" t="s">
        <v>17</v>
      </c>
      <c r="B83">
        <v>82</v>
      </c>
      <c r="C83" t="s">
        <v>18</v>
      </c>
      <c r="D83" t="s">
        <v>497</v>
      </c>
      <c r="E83" t="s">
        <v>498</v>
      </c>
      <c r="F83" t="s">
        <v>499</v>
      </c>
      <c r="G83" t="s">
        <v>500</v>
      </c>
      <c r="H83" t="s">
        <v>501</v>
      </c>
      <c r="I83">
        <v>366</v>
      </c>
      <c r="J83" t="s">
        <v>502</v>
      </c>
      <c r="K83">
        <v>737</v>
      </c>
      <c r="L83">
        <v>8</v>
      </c>
      <c r="M83">
        <v>8</v>
      </c>
      <c r="N83">
        <v>49</v>
      </c>
      <c r="O83">
        <v>281079</v>
      </c>
      <c r="P83">
        <v>847</v>
      </c>
      <c r="Q83" t="s">
        <v>25</v>
      </c>
    </row>
    <row r="84" spans="1:17">
      <c r="A84" t="s">
        <v>17</v>
      </c>
      <c r="B84">
        <v>83</v>
      </c>
      <c r="C84" t="s">
        <v>18</v>
      </c>
      <c r="D84" t="s">
        <v>503</v>
      </c>
      <c r="E84" t="s">
        <v>504</v>
      </c>
      <c r="F84" t="s">
        <v>505</v>
      </c>
      <c r="G84" t="s">
        <v>506</v>
      </c>
      <c r="H84" t="s">
        <v>507</v>
      </c>
      <c r="I84">
        <v>243</v>
      </c>
      <c r="J84" t="s">
        <v>508</v>
      </c>
      <c r="K84">
        <v>2077</v>
      </c>
      <c r="L84">
        <v>0</v>
      </c>
      <c r="M84">
        <v>0</v>
      </c>
      <c r="N84">
        <v>310</v>
      </c>
      <c r="O84">
        <v>1443531</v>
      </c>
      <c r="P84">
        <v>196</v>
      </c>
      <c r="Q84" t="s">
        <v>25</v>
      </c>
    </row>
    <row r="85" spans="1:17">
      <c r="A85" t="s">
        <v>17</v>
      </c>
      <c r="B85">
        <v>84</v>
      </c>
      <c r="C85" t="s">
        <v>18</v>
      </c>
      <c r="D85" t="s">
        <v>509</v>
      </c>
      <c r="E85" t="s">
        <v>510</v>
      </c>
      <c r="F85" t="s">
        <v>511</v>
      </c>
      <c r="G85" t="s">
        <v>512</v>
      </c>
      <c r="H85" t="s">
        <v>513</v>
      </c>
      <c r="I85">
        <v>227</v>
      </c>
      <c r="J85" t="s">
        <v>514</v>
      </c>
      <c r="K85">
        <v>924</v>
      </c>
      <c r="L85">
        <v>7</v>
      </c>
      <c r="M85">
        <v>7</v>
      </c>
      <c r="N85">
        <v>72</v>
      </c>
      <c r="O85">
        <v>131800</v>
      </c>
      <c r="P85">
        <v>67</v>
      </c>
      <c r="Q85" t="s">
        <v>25</v>
      </c>
    </row>
    <row r="86" spans="1:17">
      <c r="A86" t="s">
        <v>17</v>
      </c>
      <c r="B86">
        <v>85</v>
      </c>
      <c r="C86" t="s">
        <v>18</v>
      </c>
      <c r="D86" t="s">
        <v>515</v>
      </c>
      <c r="E86" t="s">
        <v>288</v>
      </c>
      <c r="F86" t="s">
        <v>516</v>
      </c>
      <c r="G86" t="s">
        <v>517</v>
      </c>
      <c r="H86" t="s">
        <v>518</v>
      </c>
      <c r="I86">
        <v>444</v>
      </c>
      <c r="J86" t="s">
        <v>519</v>
      </c>
      <c r="K86">
        <v>531</v>
      </c>
      <c r="L86">
        <v>9</v>
      </c>
      <c r="M86">
        <v>9</v>
      </c>
      <c r="N86">
        <v>24</v>
      </c>
      <c r="O86">
        <v>83387</v>
      </c>
      <c r="P86">
        <v>23</v>
      </c>
      <c r="Q86" t="s">
        <v>25</v>
      </c>
    </row>
    <row r="87" spans="1:17">
      <c r="A87" t="s">
        <v>17</v>
      </c>
      <c r="B87">
        <v>86</v>
      </c>
      <c r="C87" t="s">
        <v>18</v>
      </c>
      <c r="D87" t="s">
        <v>520</v>
      </c>
      <c r="E87" t="s">
        <v>521</v>
      </c>
      <c r="F87" t="s">
        <v>522</v>
      </c>
      <c r="G87" t="s">
        <v>523</v>
      </c>
      <c r="H87" t="s">
        <v>524</v>
      </c>
      <c r="I87">
        <v>453</v>
      </c>
      <c r="J87" t="s">
        <v>525</v>
      </c>
      <c r="K87">
        <v>942</v>
      </c>
      <c r="L87">
        <v>8</v>
      </c>
      <c r="M87">
        <v>8</v>
      </c>
      <c r="N87">
        <v>15</v>
      </c>
      <c r="O87">
        <v>48316</v>
      </c>
      <c r="P87">
        <v>14</v>
      </c>
      <c r="Q87" t="s">
        <v>44</v>
      </c>
    </row>
    <row r="88" spans="1:17">
      <c r="A88" t="s">
        <v>17</v>
      </c>
      <c r="B88">
        <v>87</v>
      </c>
      <c r="C88" t="s">
        <v>18</v>
      </c>
      <c r="D88" t="s">
        <v>526</v>
      </c>
      <c r="E88" t="s">
        <v>527</v>
      </c>
      <c r="F88" t="s">
        <v>528</v>
      </c>
      <c r="G88" t="s">
        <v>529</v>
      </c>
      <c r="H88" t="s">
        <v>530</v>
      </c>
      <c r="I88">
        <v>820</v>
      </c>
      <c r="J88" t="s">
        <v>531</v>
      </c>
      <c r="K88">
        <v>269</v>
      </c>
      <c r="L88">
        <v>2</v>
      </c>
      <c r="M88">
        <v>2</v>
      </c>
      <c r="N88">
        <v>23</v>
      </c>
      <c r="O88">
        <v>63173</v>
      </c>
      <c r="P88">
        <v>19</v>
      </c>
      <c r="Q88" t="s">
        <v>25</v>
      </c>
    </row>
    <row r="89" spans="1:17">
      <c r="A89" t="s">
        <v>17</v>
      </c>
      <c r="B89">
        <v>88</v>
      </c>
      <c r="C89" t="s">
        <v>18</v>
      </c>
      <c r="D89" t="s">
        <v>532</v>
      </c>
      <c r="E89" t="s">
        <v>533</v>
      </c>
      <c r="F89" t="s">
        <v>534</v>
      </c>
      <c r="G89" t="s">
        <v>535</v>
      </c>
      <c r="H89" t="s">
        <v>536</v>
      </c>
      <c r="I89">
        <v>794</v>
      </c>
      <c r="J89" t="s">
        <v>537</v>
      </c>
      <c r="K89">
        <v>2327</v>
      </c>
      <c r="L89">
        <v>15</v>
      </c>
      <c r="M89">
        <v>15</v>
      </c>
      <c r="N89">
        <v>84</v>
      </c>
      <c r="O89">
        <v>272969</v>
      </c>
      <c r="P89">
        <v>78</v>
      </c>
      <c r="Q89" t="s">
        <v>25</v>
      </c>
    </row>
    <row r="90" spans="1:17">
      <c r="A90" t="s">
        <v>17</v>
      </c>
      <c r="B90">
        <v>89</v>
      </c>
      <c r="C90" t="s">
        <v>18</v>
      </c>
      <c r="D90" t="s">
        <v>538</v>
      </c>
      <c r="E90" t="s">
        <v>539</v>
      </c>
      <c r="F90" t="s">
        <v>540</v>
      </c>
      <c r="G90" t="s">
        <v>541</v>
      </c>
      <c r="H90" t="s">
        <v>542</v>
      </c>
      <c r="I90">
        <v>177</v>
      </c>
      <c r="J90" t="s">
        <v>543</v>
      </c>
      <c r="K90">
        <v>236</v>
      </c>
      <c r="L90">
        <v>2</v>
      </c>
      <c r="M90">
        <v>2</v>
      </c>
      <c r="N90">
        <v>28</v>
      </c>
      <c r="O90">
        <v>76371</v>
      </c>
      <c r="P90">
        <v>27</v>
      </c>
      <c r="Q90" t="s">
        <v>25</v>
      </c>
    </row>
    <row r="91" spans="1:17">
      <c r="A91" t="s">
        <v>17</v>
      </c>
      <c r="B91">
        <v>90</v>
      </c>
      <c r="C91" t="s">
        <v>18</v>
      </c>
      <c r="D91" t="s">
        <v>544</v>
      </c>
      <c r="E91" t="s">
        <v>545</v>
      </c>
      <c r="F91" t="s">
        <v>546</v>
      </c>
      <c r="G91" t="s">
        <v>547</v>
      </c>
      <c r="H91" t="s">
        <v>548</v>
      </c>
      <c r="I91">
        <v>211</v>
      </c>
      <c r="J91" t="s">
        <v>549</v>
      </c>
      <c r="K91">
        <v>2939</v>
      </c>
      <c r="L91">
        <v>0</v>
      </c>
      <c r="M91">
        <v>0</v>
      </c>
      <c r="N91">
        <v>107</v>
      </c>
      <c r="O91">
        <v>612915</v>
      </c>
      <c r="P91">
        <v>141</v>
      </c>
      <c r="Q91" t="s">
        <v>25</v>
      </c>
    </row>
    <row r="92" spans="1:17">
      <c r="A92" t="s">
        <v>17</v>
      </c>
      <c r="B92">
        <v>91</v>
      </c>
      <c r="C92" t="s">
        <v>18</v>
      </c>
      <c r="D92" t="s">
        <v>550</v>
      </c>
      <c r="E92" t="s">
        <v>551</v>
      </c>
      <c r="F92" t="s">
        <v>552</v>
      </c>
      <c r="G92" t="s">
        <v>553</v>
      </c>
      <c r="H92" t="s">
        <v>554</v>
      </c>
      <c r="I92">
        <v>566</v>
      </c>
      <c r="J92" t="s">
        <v>555</v>
      </c>
      <c r="K92">
        <v>1944</v>
      </c>
      <c r="L92">
        <v>22</v>
      </c>
      <c r="M92">
        <v>22</v>
      </c>
      <c r="N92">
        <v>56</v>
      </c>
      <c r="O92">
        <v>83797</v>
      </c>
      <c r="P92">
        <v>24</v>
      </c>
      <c r="Q92" t="s">
        <v>44</v>
      </c>
    </row>
    <row r="93" spans="1:17">
      <c r="A93" t="s">
        <v>17</v>
      </c>
      <c r="B93">
        <v>92</v>
      </c>
      <c r="C93" t="s">
        <v>18</v>
      </c>
      <c r="D93" t="s">
        <v>556</v>
      </c>
      <c r="E93" t="s">
        <v>428</v>
      </c>
      <c r="F93" t="s">
        <v>557</v>
      </c>
      <c r="G93" t="s">
        <v>558</v>
      </c>
      <c r="H93" t="s">
        <v>559</v>
      </c>
      <c r="I93">
        <v>383</v>
      </c>
      <c r="J93" t="s">
        <v>560</v>
      </c>
      <c r="K93">
        <v>12669</v>
      </c>
      <c r="L93">
        <v>6</v>
      </c>
      <c r="M93">
        <v>6</v>
      </c>
      <c r="N93">
        <v>193</v>
      </c>
      <c r="O93">
        <v>362358</v>
      </c>
      <c r="P93">
        <v>190</v>
      </c>
      <c r="Q93" t="s">
        <v>25</v>
      </c>
    </row>
    <row r="94" spans="1:17">
      <c r="A94" t="s">
        <v>17</v>
      </c>
      <c r="B94">
        <v>93</v>
      </c>
      <c r="C94" t="s">
        <v>18</v>
      </c>
      <c r="D94" t="s">
        <v>561</v>
      </c>
      <c r="E94" t="s">
        <v>353</v>
      </c>
      <c r="F94" t="s">
        <v>562</v>
      </c>
      <c r="G94" t="s">
        <v>563</v>
      </c>
      <c r="H94" t="s">
        <v>564</v>
      </c>
      <c r="I94">
        <v>533</v>
      </c>
      <c r="J94" t="s">
        <v>565</v>
      </c>
      <c r="K94">
        <v>1426</v>
      </c>
      <c r="L94">
        <v>2</v>
      </c>
      <c r="M94">
        <v>2</v>
      </c>
      <c r="N94">
        <v>238</v>
      </c>
      <c r="O94">
        <v>487316</v>
      </c>
      <c r="P94">
        <v>75</v>
      </c>
      <c r="Q94" t="s">
        <v>25</v>
      </c>
    </row>
    <row r="95" spans="1:17">
      <c r="A95" t="s">
        <v>17</v>
      </c>
      <c r="B95">
        <v>94</v>
      </c>
      <c r="C95" t="s">
        <v>18</v>
      </c>
      <c r="D95" t="s">
        <v>566</v>
      </c>
      <c r="E95" t="s">
        <v>567</v>
      </c>
      <c r="F95" t="s">
        <v>568</v>
      </c>
      <c r="G95" t="s">
        <v>569</v>
      </c>
      <c r="H95" t="s">
        <v>570</v>
      </c>
      <c r="I95">
        <v>867</v>
      </c>
      <c r="J95" t="s">
        <v>571</v>
      </c>
      <c r="K95">
        <v>381</v>
      </c>
      <c r="L95">
        <v>14</v>
      </c>
      <c r="M95">
        <v>14</v>
      </c>
      <c r="N95">
        <v>67</v>
      </c>
      <c r="O95">
        <v>444652</v>
      </c>
      <c r="P95">
        <v>33</v>
      </c>
      <c r="Q95" t="s">
        <v>44</v>
      </c>
    </row>
    <row r="96" spans="1:17">
      <c r="A96" t="s">
        <v>17</v>
      </c>
      <c r="B96">
        <v>95</v>
      </c>
      <c r="C96" t="s">
        <v>18</v>
      </c>
      <c r="D96" t="s">
        <v>572</v>
      </c>
      <c r="E96" t="s">
        <v>573</v>
      </c>
      <c r="F96" t="s">
        <v>574</v>
      </c>
      <c r="G96" t="s">
        <v>575</v>
      </c>
      <c r="H96" t="s">
        <v>576</v>
      </c>
      <c r="I96">
        <v>457</v>
      </c>
      <c r="J96" t="s">
        <v>577</v>
      </c>
      <c r="K96">
        <v>266</v>
      </c>
      <c r="L96">
        <v>15</v>
      </c>
      <c r="M96">
        <v>15</v>
      </c>
      <c r="N96">
        <v>22</v>
      </c>
      <c r="O96">
        <v>86341</v>
      </c>
      <c r="P96">
        <v>17</v>
      </c>
      <c r="Q96" t="s">
        <v>25</v>
      </c>
    </row>
    <row r="97" spans="1:17">
      <c r="A97" t="s">
        <v>17</v>
      </c>
      <c r="B97">
        <v>96</v>
      </c>
      <c r="C97" t="s">
        <v>18</v>
      </c>
      <c r="D97" t="s">
        <v>578</v>
      </c>
      <c r="E97" t="s">
        <v>579</v>
      </c>
      <c r="F97" t="s">
        <v>580</v>
      </c>
      <c r="G97" t="s">
        <v>581</v>
      </c>
      <c r="H97" t="s">
        <v>582</v>
      </c>
      <c r="I97">
        <v>415</v>
      </c>
      <c r="J97" t="s">
        <v>583</v>
      </c>
      <c r="K97">
        <v>1481</v>
      </c>
      <c r="L97">
        <v>6</v>
      </c>
      <c r="M97">
        <v>6</v>
      </c>
      <c r="N97">
        <v>101</v>
      </c>
      <c r="O97">
        <v>259317</v>
      </c>
      <c r="P97">
        <v>99</v>
      </c>
      <c r="Q97" t="s">
        <v>25</v>
      </c>
    </row>
    <row r="98" spans="1:17">
      <c r="A98" t="s">
        <v>17</v>
      </c>
      <c r="B98">
        <v>97</v>
      </c>
      <c r="C98" t="s">
        <v>474</v>
      </c>
      <c r="D98" t="s">
        <v>584</v>
      </c>
      <c r="E98" t="s">
        <v>585</v>
      </c>
      <c r="F98" t="s">
        <v>586</v>
      </c>
      <c r="G98" t="s">
        <v>587</v>
      </c>
      <c r="H98" t="s">
        <v>588</v>
      </c>
      <c r="I98">
        <v>640</v>
      </c>
      <c r="J98" t="s">
        <v>589</v>
      </c>
      <c r="K98">
        <v>51</v>
      </c>
      <c r="N98">
        <v>13</v>
      </c>
      <c r="O98">
        <v>46610</v>
      </c>
      <c r="P98">
        <v>6</v>
      </c>
      <c r="Q98" t="s">
        <v>25</v>
      </c>
    </row>
    <row r="99" spans="1:17">
      <c r="A99" t="s">
        <v>17</v>
      </c>
      <c r="B99">
        <v>98</v>
      </c>
      <c r="C99" t="s">
        <v>18</v>
      </c>
      <c r="D99" t="s">
        <v>590</v>
      </c>
      <c r="E99" t="s">
        <v>591</v>
      </c>
      <c r="F99" t="s">
        <v>592</v>
      </c>
      <c r="G99" t="s">
        <v>593</v>
      </c>
      <c r="H99" t="s">
        <v>594</v>
      </c>
      <c r="I99">
        <v>245</v>
      </c>
      <c r="J99" t="s">
        <v>595</v>
      </c>
      <c r="K99">
        <v>46046</v>
      </c>
      <c r="L99">
        <v>3</v>
      </c>
      <c r="M99">
        <v>3</v>
      </c>
      <c r="N99">
        <v>158</v>
      </c>
      <c r="O99">
        <v>535555</v>
      </c>
      <c r="P99">
        <v>572</v>
      </c>
      <c r="Q99" t="s">
        <v>25</v>
      </c>
    </row>
    <row r="100" spans="1:17">
      <c r="A100" t="s">
        <v>17</v>
      </c>
      <c r="B100">
        <v>99</v>
      </c>
      <c r="C100" t="s">
        <v>18</v>
      </c>
      <c r="D100" t="s">
        <v>596</v>
      </c>
      <c r="E100" t="s">
        <v>597</v>
      </c>
      <c r="F100" t="s">
        <v>598</v>
      </c>
      <c r="G100" t="s">
        <v>599</v>
      </c>
      <c r="H100" t="s">
        <v>600</v>
      </c>
      <c r="I100">
        <v>45</v>
      </c>
      <c r="J100" t="s">
        <v>601</v>
      </c>
      <c r="K100">
        <v>284</v>
      </c>
      <c r="L100">
        <v>9</v>
      </c>
      <c r="M100">
        <v>9</v>
      </c>
      <c r="N100">
        <v>11</v>
      </c>
      <c r="O100">
        <v>33316</v>
      </c>
      <c r="P100">
        <v>12</v>
      </c>
      <c r="Q100" t="s">
        <v>25</v>
      </c>
    </row>
    <row r="101" spans="1:17">
      <c r="A101" t="s">
        <v>17</v>
      </c>
      <c r="B101">
        <v>100</v>
      </c>
      <c r="C101" t="s">
        <v>474</v>
      </c>
      <c r="D101" t="s">
        <v>602</v>
      </c>
      <c r="E101" t="s">
        <v>603</v>
      </c>
      <c r="F101" t="s">
        <v>604</v>
      </c>
      <c r="G101" t="s">
        <v>605</v>
      </c>
      <c r="H101" t="s">
        <v>606</v>
      </c>
      <c r="I101">
        <v>175</v>
      </c>
      <c r="J101" t="s">
        <v>607</v>
      </c>
      <c r="K101">
        <v>42263</v>
      </c>
      <c r="N101">
        <v>349</v>
      </c>
      <c r="O101">
        <v>1141104</v>
      </c>
      <c r="P101">
        <v>1367</v>
      </c>
      <c r="Q101" t="s">
        <v>25</v>
      </c>
    </row>
    <row r="102" spans="1:17">
      <c r="A102" t="s">
        <v>608</v>
      </c>
      <c r="B102">
        <v>1</v>
      </c>
      <c r="C102" t="s">
        <v>18</v>
      </c>
      <c r="D102" t="s">
        <v>609</v>
      </c>
      <c r="E102" t="s">
        <v>610</v>
      </c>
      <c r="F102" t="s">
        <v>611</v>
      </c>
      <c r="G102" t="s">
        <v>612</v>
      </c>
      <c r="H102" t="s">
        <v>613</v>
      </c>
      <c r="I102">
        <v>682</v>
      </c>
      <c r="J102" t="s">
        <v>614</v>
      </c>
      <c r="K102">
        <v>6553</v>
      </c>
      <c r="L102">
        <v>597</v>
      </c>
      <c r="M102">
        <v>597</v>
      </c>
      <c r="N102">
        <v>24</v>
      </c>
      <c r="O102">
        <v>124563</v>
      </c>
      <c r="P102">
        <v>23</v>
      </c>
      <c r="Q102" t="s">
        <v>25</v>
      </c>
    </row>
    <row r="103" spans="1:17">
      <c r="A103" t="s">
        <v>608</v>
      </c>
      <c r="B103">
        <v>2</v>
      </c>
      <c r="C103" t="s">
        <v>18</v>
      </c>
      <c r="D103" t="s">
        <v>615</v>
      </c>
      <c r="E103" t="s">
        <v>616</v>
      </c>
      <c r="F103" t="s">
        <v>617</v>
      </c>
      <c r="G103" t="s">
        <v>618</v>
      </c>
      <c r="H103" t="s">
        <v>619</v>
      </c>
      <c r="I103">
        <v>1137</v>
      </c>
      <c r="J103" t="s">
        <v>620</v>
      </c>
      <c r="K103">
        <v>3511</v>
      </c>
      <c r="L103">
        <v>360</v>
      </c>
      <c r="M103">
        <v>360</v>
      </c>
      <c r="N103">
        <v>89</v>
      </c>
      <c r="O103">
        <v>81258</v>
      </c>
      <c r="P103">
        <v>18</v>
      </c>
      <c r="Q103" t="s">
        <v>25</v>
      </c>
    </row>
    <row r="104" spans="1:17">
      <c r="A104" t="s">
        <v>608</v>
      </c>
      <c r="B104">
        <v>3</v>
      </c>
      <c r="C104" t="s">
        <v>18</v>
      </c>
      <c r="D104" t="s">
        <v>621</v>
      </c>
      <c r="E104" t="s">
        <v>622</v>
      </c>
      <c r="F104" t="s">
        <v>623</v>
      </c>
      <c r="G104" t="s">
        <v>624</v>
      </c>
      <c r="H104" t="s">
        <v>625</v>
      </c>
      <c r="I104">
        <v>432</v>
      </c>
      <c r="J104" t="s">
        <v>626</v>
      </c>
      <c r="K104">
        <v>7563</v>
      </c>
      <c r="L104">
        <v>161</v>
      </c>
      <c r="M104">
        <v>161</v>
      </c>
      <c r="N104">
        <v>40</v>
      </c>
      <c r="O104">
        <v>168523</v>
      </c>
      <c r="P104">
        <v>27</v>
      </c>
      <c r="Q104" t="s">
        <v>25</v>
      </c>
    </row>
    <row r="105" spans="1:17">
      <c r="A105" t="s">
        <v>608</v>
      </c>
      <c r="B105">
        <v>4</v>
      </c>
      <c r="C105" t="s">
        <v>18</v>
      </c>
      <c r="D105" t="s">
        <v>627</v>
      </c>
      <c r="E105" t="s">
        <v>628</v>
      </c>
      <c r="F105" t="s">
        <v>629</v>
      </c>
      <c r="G105" t="s">
        <v>627</v>
      </c>
      <c r="H105" t="s">
        <v>630</v>
      </c>
      <c r="I105">
        <v>146</v>
      </c>
      <c r="J105" t="s">
        <v>631</v>
      </c>
      <c r="K105">
        <v>11875</v>
      </c>
      <c r="L105">
        <v>245</v>
      </c>
      <c r="M105">
        <v>245</v>
      </c>
      <c r="N105">
        <v>100</v>
      </c>
      <c r="O105">
        <v>214214</v>
      </c>
      <c r="P105">
        <v>24</v>
      </c>
      <c r="Q105" t="s">
        <v>25</v>
      </c>
    </row>
    <row r="106" spans="1:17">
      <c r="A106" t="s">
        <v>608</v>
      </c>
      <c r="B106">
        <v>5</v>
      </c>
      <c r="C106" t="s">
        <v>18</v>
      </c>
      <c r="D106" t="s">
        <v>632</v>
      </c>
      <c r="E106" t="s">
        <v>633</v>
      </c>
      <c r="F106" t="s">
        <v>634</v>
      </c>
      <c r="G106" t="s">
        <v>635</v>
      </c>
      <c r="H106" t="s">
        <v>636</v>
      </c>
      <c r="I106">
        <v>294</v>
      </c>
      <c r="J106" t="s">
        <v>637</v>
      </c>
      <c r="K106">
        <v>6563</v>
      </c>
      <c r="L106">
        <v>206</v>
      </c>
      <c r="M106">
        <v>206</v>
      </c>
      <c r="N106">
        <v>27</v>
      </c>
      <c r="O106">
        <v>70727</v>
      </c>
      <c r="P106">
        <v>26</v>
      </c>
      <c r="Q106" t="s">
        <v>25</v>
      </c>
    </row>
    <row r="107" spans="1:17">
      <c r="A107" t="s">
        <v>608</v>
      </c>
      <c r="B107">
        <v>6</v>
      </c>
      <c r="C107" t="s">
        <v>18</v>
      </c>
      <c r="D107" t="s">
        <v>638</v>
      </c>
      <c r="E107" t="s">
        <v>639</v>
      </c>
      <c r="F107" t="s">
        <v>640</v>
      </c>
      <c r="G107" t="s">
        <v>641</v>
      </c>
      <c r="H107" t="s">
        <v>642</v>
      </c>
      <c r="I107">
        <v>288</v>
      </c>
      <c r="J107" t="s">
        <v>643</v>
      </c>
      <c r="K107">
        <v>1961</v>
      </c>
      <c r="L107">
        <v>208</v>
      </c>
      <c r="M107">
        <v>208</v>
      </c>
      <c r="N107">
        <v>24</v>
      </c>
      <c r="O107">
        <v>59553</v>
      </c>
      <c r="P107">
        <v>6</v>
      </c>
      <c r="Q107" t="s">
        <v>25</v>
      </c>
    </row>
    <row r="108" spans="1:17">
      <c r="A108" t="s">
        <v>608</v>
      </c>
      <c r="B108">
        <v>7</v>
      </c>
      <c r="C108" t="s">
        <v>18</v>
      </c>
      <c r="D108" t="s">
        <v>644</v>
      </c>
      <c r="E108" t="s">
        <v>27</v>
      </c>
      <c r="F108" t="s">
        <v>645</v>
      </c>
      <c r="G108" t="s">
        <v>646</v>
      </c>
      <c r="H108" t="s">
        <v>647</v>
      </c>
      <c r="I108">
        <v>657</v>
      </c>
      <c r="J108" t="s">
        <v>648</v>
      </c>
      <c r="K108">
        <v>1702</v>
      </c>
      <c r="L108">
        <v>198</v>
      </c>
      <c r="M108">
        <v>198</v>
      </c>
      <c r="N108">
        <v>37</v>
      </c>
      <c r="O108">
        <v>227116</v>
      </c>
      <c r="P108">
        <v>19</v>
      </c>
      <c r="Q108" t="s">
        <v>25</v>
      </c>
    </row>
    <row r="109" spans="1:17">
      <c r="A109" t="s">
        <v>608</v>
      </c>
      <c r="B109">
        <v>8</v>
      </c>
      <c r="C109" t="s">
        <v>18</v>
      </c>
      <c r="D109" t="s">
        <v>649</v>
      </c>
      <c r="E109" t="s">
        <v>650</v>
      </c>
      <c r="F109" t="s">
        <v>651</v>
      </c>
      <c r="G109" t="s">
        <v>652</v>
      </c>
      <c r="H109" t="s">
        <v>653</v>
      </c>
      <c r="I109">
        <v>339</v>
      </c>
      <c r="J109" t="s">
        <v>654</v>
      </c>
      <c r="K109">
        <v>1037</v>
      </c>
      <c r="L109">
        <v>214</v>
      </c>
      <c r="M109">
        <v>214</v>
      </c>
      <c r="N109">
        <v>7</v>
      </c>
      <c r="O109">
        <v>29480</v>
      </c>
      <c r="P109">
        <v>6</v>
      </c>
      <c r="Q109" t="s">
        <v>25</v>
      </c>
    </row>
    <row r="110" spans="1:17">
      <c r="A110" t="s">
        <v>608</v>
      </c>
      <c r="B110">
        <v>9</v>
      </c>
      <c r="C110" t="s">
        <v>18</v>
      </c>
      <c r="D110" t="s">
        <v>655</v>
      </c>
      <c r="E110" t="s">
        <v>656</v>
      </c>
      <c r="F110" t="s">
        <v>657</v>
      </c>
      <c r="G110" t="s">
        <v>658</v>
      </c>
      <c r="H110" t="s">
        <v>659</v>
      </c>
      <c r="I110">
        <v>395</v>
      </c>
      <c r="J110" t="s">
        <v>660</v>
      </c>
      <c r="K110">
        <v>3597</v>
      </c>
      <c r="L110">
        <v>157</v>
      </c>
      <c r="M110">
        <v>157</v>
      </c>
      <c r="N110">
        <v>27</v>
      </c>
      <c r="O110">
        <v>77614</v>
      </c>
      <c r="P110">
        <v>26</v>
      </c>
      <c r="Q110" t="s">
        <v>25</v>
      </c>
    </row>
    <row r="111" spans="1:17">
      <c r="A111" t="s">
        <v>608</v>
      </c>
      <c r="B111">
        <v>10</v>
      </c>
      <c r="C111" t="s">
        <v>18</v>
      </c>
      <c r="D111" t="s">
        <v>661</v>
      </c>
      <c r="E111" t="s">
        <v>662</v>
      </c>
      <c r="F111" t="s">
        <v>663</v>
      </c>
      <c r="G111" t="s">
        <v>664</v>
      </c>
      <c r="H111" t="s">
        <v>665</v>
      </c>
      <c r="I111">
        <v>714</v>
      </c>
      <c r="J111" t="s">
        <v>666</v>
      </c>
      <c r="K111">
        <v>923</v>
      </c>
      <c r="L111">
        <v>216</v>
      </c>
      <c r="M111">
        <v>216</v>
      </c>
      <c r="N111">
        <v>18</v>
      </c>
      <c r="O111">
        <v>74642</v>
      </c>
      <c r="P111">
        <v>4</v>
      </c>
      <c r="Q111" t="s">
        <v>25</v>
      </c>
    </row>
    <row r="112" spans="1:17">
      <c r="A112" t="s">
        <v>608</v>
      </c>
      <c r="B112">
        <v>11</v>
      </c>
      <c r="C112" t="s">
        <v>18</v>
      </c>
      <c r="D112" t="s">
        <v>667</v>
      </c>
      <c r="E112" t="s">
        <v>668</v>
      </c>
      <c r="F112" t="s">
        <v>669</v>
      </c>
      <c r="G112" t="s">
        <v>670</v>
      </c>
      <c r="H112" t="s">
        <v>671</v>
      </c>
      <c r="I112">
        <v>455</v>
      </c>
      <c r="J112" t="s">
        <v>672</v>
      </c>
      <c r="K112">
        <v>1639</v>
      </c>
      <c r="L112">
        <v>218</v>
      </c>
      <c r="M112">
        <v>218</v>
      </c>
      <c r="N112">
        <v>18</v>
      </c>
      <c r="O112">
        <v>54739</v>
      </c>
      <c r="P112">
        <v>17</v>
      </c>
      <c r="Q112" t="s">
        <v>25</v>
      </c>
    </row>
    <row r="113" spans="1:17">
      <c r="A113" t="s">
        <v>608</v>
      </c>
      <c r="B113">
        <v>12</v>
      </c>
      <c r="C113" t="s">
        <v>18</v>
      </c>
      <c r="D113" t="s">
        <v>673</v>
      </c>
      <c r="E113" t="s">
        <v>674</v>
      </c>
      <c r="F113" t="s">
        <v>675</v>
      </c>
      <c r="G113" t="s">
        <v>676</v>
      </c>
      <c r="H113" t="s">
        <v>677</v>
      </c>
      <c r="I113">
        <v>296</v>
      </c>
      <c r="J113" t="s">
        <v>678</v>
      </c>
      <c r="K113">
        <v>2610</v>
      </c>
      <c r="L113">
        <v>81</v>
      </c>
      <c r="M113">
        <v>81</v>
      </c>
      <c r="N113">
        <v>61</v>
      </c>
      <c r="O113">
        <v>201762</v>
      </c>
      <c r="P113">
        <v>29</v>
      </c>
      <c r="Q113" t="s">
        <v>25</v>
      </c>
    </row>
    <row r="114" spans="1:17">
      <c r="A114" t="s">
        <v>608</v>
      </c>
      <c r="B114">
        <v>13</v>
      </c>
      <c r="C114" t="s">
        <v>18</v>
      </c>
      <c r="D114" t="s">
        <v>679</v>
      </c>
      <c r="E114" t="s">
        <v>680</v>
      </c>
      <c r="F114" t="s">
        <v>681</v>
      </c>
      <c r="G114" t="s">
        <v>682</v>
      </c>
      <c r="H114" t="s">
        <v>683</v>
      </c>
      <c r="I114">
        <v>532</v>
      </c>
      <c r="J114" t="s">
        <v>684</v>
      </c>
      <c r="K114">
        <v>1278</v>
      </c>
      <c r="L114">
        <v>66</v>
      </c>
      <c r="M114">
        <v>66</v>
      </c>
      <c r="N114">
        <v>10</v>
      </c>
      <c r="O114">
        <v>44764</v>
      </c>
      <c r="P114">
        <v>9</v>
      </c>
      <c r="Q114" t="s">
        <v>25</v>
      </c>
    </row>
    <row r="115" spans="1:17">
      <c r="A115" t="s">
        <v>608</v>
      </c>
      <c r="B115">
        <v>14</v>
      </c>
      <c r="C115" t="s">
        <v>18</v>
      </c>
      <c r="D115" t="s">
        <v>685</v>
      </c>
      <c r="E115" t="s">
        <v>686</v>
      </c>
      <c r="F115" t="s">
        <v>687</v>
      </c>
      <c r="G115" t="s">
        <v>688</v>
      </c>
      <c r="H115" t="s">
        <v>689</v>
      </c>
      <c r="I115">
        <v>1108</v>
      </c>
      <c r="J115" t="s">
        <v>690</v>
      </c>
      <c r="K115">
        <v>1324</v>
      </c>
      <c r="L115">
        <v>26</v>
      </c>
      <c r="M115">
        <v>26</v>
      </c>
      <c r="N115">
        <v>559</v>
      </c>
      <c r="O115">
        <v>1768049</v>
      </c>
      <c r="P115">
        <v>1007</v>
      </c>
      <c r="Q115" t="s">
        <v>25</v>
      </c>
    </row>
    <row r="116" spans="1:17">
      <c r="A116" t="s">
        <v>608</v>
      </c>
      <c r="B116">
        <v>15</v>
      </c>
      <c r="C116" t="s">
        <v>18</v>
      </c>
      <c r="D116" t="s">
        <v>691</v>
      </c>
      <c r="E116" t="s">
        <v>692</v>
      </c>
      <c r="F116" t="s">
        <v>693</v>
      </c>
      <c r="G116" t="s">
        <v>694</v>
      </c>
      <c r="H116" t="s">
        <v>695</v>
      </c>
      <c r="I116">
        <v>442</v>
      </c>
      <c r="J116" t="s">
        <v>696</v>
      </c>
      <c r="K116">
        <v>18723</v>
      </c>
      <c r="L116">
        <v>93</v>
      </c>
      <c r="M116">
        <v>93</v>
      </c>
      <c r="N116">
        <v>85</v>
      </c>
      <c r="O116">
        <v>362963</v>
      </c>
      <c r="P116">
        <v>70</v>
      </c>
      <c r="Q116" t="s">
        <v>25</v>
      </c>
    </row>
    <row r="117" spans="1:17">
      <c r="A117" t="s">
        <v>608</v>
      </c>
      <c r="B117">
        <v>16</v>
      </c>
      <c r="C117" t="s">
        <v>18</v>
      </c>
      <c r="D117" t="s">
        <v>697</v>
      </c>
      <c r="E117" t="s">
        <v>698</v>
      </c>
      <c r="F117" t="s">
        <v>699</v>
      </c>
      <c r="G117" t="s">
        <v>700</v>
      </c>
      <c r="H117" t="s">
        <v>701</v>
      </c>
      <c r="I117">
        <v>289</v>
      </c>
      <c r="J117" t="s">
        <v>702</v>
      </c>
      <c r="K117">
        <v>1769</v>
      </c>
      <c r="L117">
        <v>78</v>
      </c>
      <c r="M117">
        <v>78</v>
      </c>
      <c r="N117">
        <v>30</v>
      </c>
      <c r="O117">
        <v>57393</v>
      </c>
      <c r="P117">
        <v>31</v>
      </c>
      <c r="Q117" t="s">
        <v>25</v>
      </c>
    </row>
    <row r="118" spans="1:17">
      <c r="A118" t="s">
        <v>608</v>
      </c>
      <c r="B118">
        <v>17</v>
      </c>
      <c r="C118" t="s">
        <v>18</v>
      </c>
      <c r="D118" t="s">
        <v>703</v>
      </c>
      <c r="E118" t="s">
        <v>704</v>
      </c>
      <c r="F118" t="s">
        <v>705</v>
      </c>
      <c r="G118" t="s">
        <v>706</v>
      </c>
      <c r="H118" t="s">
        <v>707</v>
      </c>
      <c r="I118">
        <v>229</v>
      </c>
      <c r="J118" t="s">
        <v>708</v>
      </c>
      <c r="K118">
        <v>1722</v>
      </c>
      <c r="L118">
        <v>85</v>
      </c>
      <c r="M118">
        <v>85</v>
      </c>
      <c r="N118">
        <v>35</v>
      </c>
      <c r="O118">
        <v>96096</v>
      </c>
      <c r="P118">
        <v>24</v>
      </c>
      <c r="Q118" t="s">
        <v>25</v>
      </c>
    </row>
    <row r="119" spans="1:17">
      <c r="A119" t="s">
        <v>608</v>
      </c>
      <c r="B119">
        <v>18</v>
      </c>
      <c r="C119" t="s">
        <v>18</v>
      </c>
      <c r="D119" t="s">
        <v>709</v>
      </c>
      <c r="E119" t="s">
        <v>710</v>
      </c>
      <c r="F119" t="s">
        <v>711</v>
      </c>
      <c r="G119" t="s">
        <v>712</v>
      </c>
      <c r="H119" t="s">
        <v>713</v>
      </c>
      <c r="I119">
        <v>327</v>
      </c>
      <c r="J119" t="s">
        <v>714</v>
      </c>
      <c r="K119">
        <v>2275</v>
      </c>
      <c r="L119">
        <v>78</v>
      </c>
      <c r="M119">
        <v>78</v>
      </c>
      <c r="N119">
        <v>39</v>
      </c>
      <c r="O119">
        <v>78546</v>
      </c>
      <c r="P119">
        <v>31</v>
      </c>
      <c r="Q119" t="s">
        <v>25</v>
      </c>
    </row>
    <row r="120" spans="1:17">
      <c r="A120" t="s">
        <v>608</v>
      </c>
      <c r="B120">
        <v>19</v>
      </c>
      <c r="C120" t="s">
        <v>18</v>
      </c>
      <c r="D120" t="s">
        <v>715</v>
      </c>
      <c r="E120" t="s">
        <v>716</v>
      </c>
      <c r="F120" t="s">
        <v>717</v>
      </c>
      <c r="G120" t="s">
        <v>718</v>
      </c>
      <c r="H120" t="s">
        <v>719</v>
      </c>
      <c r="I120">
        <v>496</v>
      </c>
      <c r="J120" t="s">
        <v>720</v>
      </c>
      <c r="K120">
        <v>1532</v>
      </c>
      <c r="L120">
        <v>59</v>
      </c>
      <c r="M120">
        <v>59</v>
      </c>
      <c r="N120">
        <v>20</v>
      </c>
      <c r="O120">
        <v>52331</v>
      </c>
      <c r="P120">
        <v>19</v>
      </c>
      <c r="Q120" t="s">
        <v>25</v>
      </c>
    </row>
    <row r="121" spans="1:17">
      <c r="A121" t="s">
        <v>608</v>
      </c>
      <c r="B121">
        <v>20</v>
      </c>
      <c r="C121" t="s">
        <v>18</v>
      </c>
      <c r="D121" t="s">
        <v>721</v>
      </c>
      <c r="E121" t="s">
        <v>722</v>
      </c>
      <c r="F121" t="s">
        <v>723</v>
      </c>
      <c r="G121" t="s">
        <v>724</v>
      </c>
      <c r="H121" t="s">
        <v>725</v>
      </c>
      <c r="I121">
        <v>276</v>
      </c>
      <c r="J121" t="s">
        <v>726</v>
      </c>
      <c r="K121">
        <v>10879</v>
      </c>
      <c r="L121">
        <v>59</v>
      </c>
      <c r="M121">
        <v>59</v>
      </c>
      <c r="N121">
        <v>48</v>
      </c>
      <c r="O121">
        <v>136595</v>
      </c>
      <c r="P121">
        <v>48</v>
      </c>
      <c r="Q121" t="s">
        <v>25</v>
      </c>
    </row>
    <row r="122" spans="1:17">
      <c r="A122" t="s">
        <v>608</v>
      </c>
      <c r="B122">
        <v>21</v>
      </c>
      <c r="C122" t="s">
        <v>18</v>
      </c>
      <c r="D122" t="s">
        <v>727</v>
      </c>
      <c r="E122" t="s">
        <v>728</v>
      </c>
      <c r="F122" t="s">
        <v>729</v>
      </c>
      <c r="G122" t="s">
        <v>730</v>
      </c>
      <c r="H122" t="s">
        <v>731</v>
      </c>
      <c r="I122">
        <v>332</v>
      </c>
      <c r="J122" t="s">
        <v>732</v>
      </c>
      <c r="K122">
        <v>844</v>
      </c>
      <c r="L122">
        <v>42</v>
      </c>
      <c r="M122">
        <v>42</v>
      </c>
      <c r="N122">
        <v>147</v>
      </c>
      <c r="O122">
        <v>581745</v>
      </c>
      <c r="P122">
        <v>44</v>
      </c>
      <c r="Q122" t="s">
        <v>25</v>
      </c>
    </row>
    <row r="123" spans="1:17">
      <c r="A123" t="s">
        <v>608</v>
      </c>
      <c r="B123">
        <v>22</v>
      </c>
      <c r="C123" t="s">
        <v>18</v>
      </c>
      <c r="D123" t="s">
        <v>733</v>
      </c>
      <c r="E123" t="s">
        <v>258</v>
      </c>
      <c r="F123" t="s">
        <v>734</v>
      </c>
      <c r="G123" t="s">
        <v>735</v>
      </c>
      <c r="H123" t="s">
        <v>736</v>
      </c>
      <c r="I123">
        <v>463</v>
      </c>
      <c r="J123" t="s">
        <v>737</v>
      </c>
      <c r="K123">
        <v>2550</v>
      </c>
      <c r="L123">
        <v>36</v>
      </c>
      <c r="M123">
        <v>36</v>
      </c>
      <c r="N123">
        <v>36</v>
      </c>
      <c r="O123">
        <v>76676</v>
      </c>
      <c r="P123">
        <v>27</v>
      </c>
      <c r="Q123" t="s">
        <v>25</v>
      </c>
    </row>
    <row r="124" spans="1:17">
      <c r="A124" t="s">
        <v>608</v>
      </c>
      <c r="B124">
        <v>23</v>
      </c>
      <c r="C124" t="s">
        <v>18</v>
      </c>
      <c r="D124" t="s">
        <v>738</v>
      </c>
      <c r="E124" t="s">
        <v>739</v>
      </c>
      <c r="F124" t="s">
        <v>740</v>
      </c>
      <c r="G124" t="s">
        <v>741</v>
      </c>
      <c r="H124" t="s">
        <v>742</v>
      </c>
      <c r="I124">
        <v>514</v>
      </c>
      <c r="J124" t="s">
        <v>743</v>
      </c>
      <c r="K124">
        <v>1538</v>
      </c>
      <c r="L124">
        <v>50</v>
      </c>
      <c r="M124">
        <v>50</v>
      </c>
      <c r="N124">
        <v>40</v>
      </c>
      <c r="O124">
        <v>100707</v>
      </c>
      <c r="P124">
        <v>27</v>
      </c>
      <c r="Q124" t="s">
        <v>25</v>
      </c>
    </row>
    <row r="125" spans="1:17">
      <c r="A125" t="s">
        <v>608</v>
      </c>
      <c r="B125">
        <v>24</v>
      </c>
      <c r="C125" t="s">
        <v>18</v>
      </c>
      <c r="D125" t="s">
        <v>744</v>
      </c>
      <c r="E125" t="s">
        <v>745</v>
      </c>
      <c r="F125" t="s">
        <v>746</v>
      </c>
      <c r="G125" t="s">
        <v>747</v>
      </c>
      <c r="H125" t="s">
        <v>748</v>
      </c>
      <c r="I125">
        <v>399</v>
      </c>
      <c r="J125" t="s">
        <v>749</v>
      </c>
      <c r="K125">
        <v>1117</v>
      </c>
      <c r="L125">
        <v>62</v>
      </c>
      <c r="M125">
        <v>62</v>
      </c>
      <c r="N125">
        <v>26</v>
      </c>
      <c r="O125">
        <v>71311</v>
      </c>
      <c r="P125">
        <v>23</v>
      </c>
      <c r="Q125" t="s">
        <v>25</v>
      </c>
    </row>
    <row r="126" spans="1:17">
      <c r="A126" t="s">
        <v>608</v>
      </c>
      <c r="B126">
        <v>25</v>
      </c>
      <c r="C126" t="s">
        <v>18</v>
      </c>
      <c r="D126" t="s">
        <v>750</v>
      </c>
      <c r="E126" t="s">
        <v>751</v>
      </c>
      <c r="F126" t="s">
        <v>752</v>
      </c>
      <c r="G126" t="s">
        <v>753</v>
      </c>
      <c r="H126" t="s">
        <v>754</v>
      </c>
      <c r="I126">
        <v>458</v>
      </c>
      <c r="J126" t="s">
        <v>755</v>
      </c>
      <c r="K126">
        <v>493</v>
      </c>
      <c r="L126">
        <v>38</v>
      </c>
      <c r="M126">
        <v>38</v>
      </c>
      <c r="N126">
        <v>6</v>
      </c>
      <c r="O126">
        <v>18840</v>
      </c>
      <c r="P126">
        <v>5</v>
      </c>
      <c r="Q126" t="s">
        <v>25</v>
      </c>
    </row>
    <row r="127" spans="1:17">
      <c r="A127" t="s">
        <v>608</v>
      </c>
      <c r="B127">
        <v>26</v>
      </c>
      <c r="C127" t="s">
        <v>18</v>
      </c>
      <c r="D127" t="s">
        <v>756</v>
      </c>
      <c r="E127" t="s">
        <v>757</v>
      </c>
      <c r="F127" t="s">
        <v>758</v>
      </c>
      <c r="G127" t="s">
        <v>759</v>
      </c>
      <c r="H127" t="s">
        <v>760</v>
      </c>
      <c r="I127">
        <v>347</v>
      </c>
      <c r="J127" t="s">
        <v>761</v>
      </c>
      <c r="K127">
        <v>19391</v>
      </c>
      <c r="L127">
        <v>45</v>
      </c>
      <c r="M127">
        <v>45</v>
      </c>
      <c r="N127">
        <v>43</v>
      </c>
      <c r="O127">
        <v>125637</v>
      </c>
      <c r="P127">
        <v>41</v>
      </c>
      <c r="Q127" t="s">
        <v>25</v>
      </c>
    </row>
    <row r="128" spans="1:17">
      <c r="A128" t="s">
        <v>608</v>
      </c>
      <c r="B128">
        <v>27</v>
      </c>
      <c r="C128" t="s">
        <v>18</v>
      </c>
      <c r="D128" t="s">
        <v>762</v>
      </c>
      <c r="E128" t="s">
        <v>763</v>
      </c>
      <c r="F128" t="s">
        <v>764</v>
      </c>
      <c r="G128" t="s">
        <v>765</v>
      </c>
      <c r="H128" t="s">
        <v>766</v>
      </c>
      <c r="I128">
        <v>548</v>
      </c>
      <c r="J128" t="s">
        <v>767</v>
      </c>
      <c r="K128">
        <v>4671</v>
      </c>
      <c r="L128">
        <v>51</v>
      </c>
      <c r="M128">
        <v>51</v>
      </c>
      <c r="N128">
        <v>105</v>
      </c>
      <c r="O128">
        <v>197419</v>
      </c>
      <c r="P128">
        <v>31</v>
      </c>
      <c r="Q128" t="s">
        <v>25</v>
      </c>
    </row>
    <row r="129" spans="1:17">
      <c r="A129" t="s">
        <v>608</v>
      </c>
      <c r="B129">
        <v>28</v>
      </c>
      <c r="C129" t="s">
        <v>18</v>
      </c>
      <c r="D129" t="s">
        <v>768</v>
      </c>
      <c r="E129" t="s">
        <v>769</v>
      </c>
      <c r="F129" t="s">
        <v>770</v>
      </c>
      <c r="G129" t="s">
        <v>771</v>
      </c>
      <c r="H129" t="s">
        <v>772</v>
      </c>
      <c r="I129">
        <v>483</v>
      </c>
      <c r="J129" t="s">
        <v>773</v>
      </c>
      <c r="K129">
        <v>1823</v>
      </c>
      <c r="L129">
        <v>13</v>
      </c>
      <c r="M129">
        <v>13</v>
      </c>
      <c r="N129">
        <v>117</v>
      </c>
      <c r="O129">
        <v>542752</v>
      </c>
      <c r="P129">
        <v>27</v>
      </c>
      <c r="Q129" t="s">
        <v>25</v>
      </c>
    </row>
    <row r="130" spans="1:17">
      <c r="A130" t="s">
        <v>608</v>
      </c>
      <c r="B130">
        <v>29</v>
      </c>
      <c r="C130" t="s">
        <v>18</v>
      </c>
      <c r="D130" t="s">
        <v>774</v>
      </c>
      <c r="E130" t="s">
        <v>775</v>
      </c>
      <c r="F130" t="s">
        <v>776</v>
      </c>
      <c r="G130" t="s">
        <v>777</v>
      </c>
      <c r="H130" t="s">
        <v>778</v>
      </c>
      <c r="I130">
        <v>513</v>
      </c>
      <c r="J130" t="s">
        <v>779</v>
      </c>
      <c r="K130">
        <v>2478</v>
      </c>
      <c r="L130">
        <v>28</v>
      </c>
      <c r="M130">
        <v>28</v>
      </c>
      <c r="N130">
        <v>116</v>
      </c>
      <c r="O130">
        <v>179736</v>
      </c>
      <c r="P130">
        <v>207</v>
      </c>
      <c r="Q130" t="s">
        <v>25</v>
      </c>
    </row>
    <row r="131" spans="1:17">
      <c r="A131" t="s">
        <v>608</v>
      </c>
      <c r="B131">
        <v>30</v>
      </c>
      <c r="C131" t="s">
        <v>18</v>
      </c>
      <c r="D131" t="s">
        <v>780</v>
      </c>
      <c r="E131" t="s">
        <v>781</v>
      </c>
      <c r="F131" t="s">
        <v>782</v>
      </c>
      <c r="G131" t="s">
        <v>783</v>
      </c>
      <c r="H131" t="s">
        <v>784</v>
      </c>
      <c r="I131">
        <v>920</v>
      </c>
      <c r="J131" t="s">
        <v>785</v>
      </c>
      <c r="K131">
        <v>3277</v>
      </c>
      <c r="L131">
        <v>25</v>
      </c>
      <c r="M131">
        <v>25</v>
      </c>
      <c r="N131">
        <v>92</v>
      </c>
      <c r="O131">
        <v>382197</v>
      </c>
      <c r="P131">
        <v>58</v>
      </c>
      <c r="Q131" t="s">
        <v>25</v>
      </c>
    </row>
    <row r="132" spans="1:17">
      <c r="A132" t="s">
        <v>608</v>
      </c>
      <c r="B132">
        <v>31</v>
      </c>
      <c r="C132" t="s">
        <v>18</v>
      </c>
      <c r="D132" t="s">
        <v>786</v>
      </c>
      <c r="E132" t="s">
        <v>787</v>
      </c>
      <c r="F132" t="s">
        <v>788</v>
      </c>
      <c r="G132" t="s">
        <v>789</v>
      </c>
      <c r="H132" t="s">
        <v>790</v>
      </c>
      <c r="I132">
        <v>373</v>
      </c>
      <c r="J132" t="s">
        <v>791</v>
      </c>
      <c r="K132">
        <v>1496</v>
      </c>
      <c r="L132">
        <v>46</v>
      </c>
      <c r="M132">
        <v>46</v>
      </c>
      <c r="N132">
        <v>78</v>
      </c>
      <c r="O132">
        <v>98950</v>
      </c>
      <c r="P132">
        <v>38</v>
      </c>
      <c r="Q132" t="s">
        <v>25</v>
      </c>
    </row>
    <row r="133" spans="1:17">
      <c r="A133" t="s">
        <v>608</v>
      </c>
      <c r="B133">
        <v>32</v>
      </c>
      <c r="C133" t="s">
        <v>18</v>
      </c>
      <c r="D133" t="s">
        <v>792</v>
      </c>
      <c r="E133" t="s">
        <v>793</v>
      </c>
      <c r="F133" t="s">
        <v>794</v>
      </c>
      <c r="G133" t="s">
        <v>795</v>
      </c>
      <c r="H133" t="s">
        <v>796</v>
      </c>
      <c r="I133">
        <v>51</v>
      </c>
      <c r="J133" t="s">
        <v>797</v>
      </c>
      <c r="K133">
        <v>1652</v>
      </c>
      <c r="L133">
        <v>53</v>
      </c>
      <c r="M133">
        <v>53</v>
      </c>
      <c r="N133">
        <v>45</v>
      </c>
      <c r="O133">
        <v>125634</v>
      </c>
      <c r="P133">
        <v>33</v>
      </c>
      <c r="Q133" t="s">
        <v>25</v>
      </c>
    </row>
    <row r="134" spans="1:17">
      <c r="A134" t="s">
        <v>608</v>
      </c>
      <c r="B134">
        <v>33</v>
      </c>
      <c r="C134" t="s">
        <v>18</v>
      </c>
      <c r="D134" t="s">
        <v>798</v>
      </c>
      <c r="E134" t="s">
        <v>799</v>
      </c>
      <c r="F134" t="s">
        <v>800</v>
      </c>
      <c r="G134" t="s">
        <v>801</v>
      </c>
      <c r="H134" t="s">
        <v>802</v>
      </c>
      <c r="I134">
        <v>476</v>
      </c>
      <c r="J134" t="s">
        <v>803</v>
      </c>
      <c r="K134">
        <v>1541</v>
      </c>
      <c r="L134">
        <v>52</v>
      </c>
      <c r="M134">
        <v>52</v>
      </c>
      <c r="N134">
        <v>28</v>
      </c>
      <c r="O134">
        <v>83591</v>
      </c>
      <c r="P134">
        <v>26</v>
      </c>
      <c r="Q134" t="s">
        <v>25</v>
      </c>
    </row>
    <row r="135" spans="1:17">
      <c r="A135" t="s">
        <v>608</v>
      </c>
      <c r="B135">
        <v>34</v>
      </c>
      <c r="C135" t="s">
        <v>18</v>
      </c>
      <c r="D135" t="s">
        <v>804</v>
      </c>
      <c r="E135" t="s">
        <v>674</v>
      </c>
      <c r="F135" t="s">
        <v>805</v>
      </c>
      <c r="G135" t="s">
        <v>806</v>
      </c>
      <c r="H135" t="s">
        <v>807</v>
      </c>
      <c r="I135">
        <v>162</v>
      </c>
      <c r="J135" t="s">
        <v>808</v>
      </c>
      <c r="K135">
        <v>888</v>
      </c>
      <c r="L135">
        <v>39</v>
      </c>
      <c r="M135">
        <v>39</v>
      </c>
      <c r="N135">
        <v>36</v>
      </c>
      <c r="O135">
        <v>110017</v>
      </c>
      <c r="P135">
        <v>18</v>
      </c>
      <c r="Q135" t="s">
        <v>25</v>
      </c>
    </row>
    <row r="136" spans="1:17">
      <c r="A136" t="s">
        <v>608</v>
      </c>
      <c r="B136">
        <v>35</v>
      </c>
      <c r="C136" t="s">
        <v>18</v>
      </c>
      <c r="D136" t="s">
        <v>809</v>
      </c>
      <c r="E136" t="s">
        <v>810</v>
      </c>
      <c r="F136" t="s">
        <v>811</v>
      </c>
      <c r="G136" t="s">
        <v>812</v>
      </c>
      <c r="H136" t="s">
        <v>813</v>
      </c>
      <c r="I136">
        <v>322</v>
      </c>
      <c r="J136" t="s">
        <v>814</v>
      </c>
      <c r="K136">
        <v>1885</v>
      </c>
      <c r="L136">
        <v>30</v>
      </c>
      <c r="M136">
        <v>30</v>
      </c>
      <c r="N136">
        <v>90</v>
      </c>
      <c r="O136">
        <v>353257</v>
      </c>
      <c r="P136">
        <v>43</v>
      </c>
      <c r="Q136" t="s">
        <v>25</v>
      </c>
    </row>
    <row r="137" spans="1:17">
      <c r="A137" t="s">
        <v>608</v>
      </c>
      <c r="B137">
        <v>36</v>
      </c>
      <c r="C137" t="s">
        <v>18</v>
      </c>
      <c r="D137" t="s">
        <v>815</v>
      </c>
      <c r="E137" t="s">
        <v>816</v>
      </c>
      <c r="F137" t="s">
        <v>817</v>
      </c>
      <c r="G137" t="s">
        <v>818</v>
      </c>
      <c r="H137" t="s">
        <v>819</v>
      </c>
      <c r="I137">
        <v>541</v>
      </c>
      <c r="J137" t="s">
        <v>820</v>
      </c>
      <c r="K137">
        <v>11187</v>
      </c>
      <c r="L137">
        <v>6</v>
      </c>
      <c r="M137">
        <v>6</v>
      </c>
      <c r="N137">
        <v>529</v>
      </c>
      <c r="O137">
        <v>1307533</v>
      </c>
      <c r="P137">
        <v>479</v>
      </c>
      <c r="Q137" t="s">
        <v>25</v>
      </c>
    </row>
    <row r="138" spans="1:17">
      <c r="A138" t="s">
        <v>608</v>
      </c>
      <c r="B138">
        <v>37</v>
      </c>
      <c r="C138" t="s">
        <v>18</v>
      </c>
      <c r="D138" t="s">
        <v>821</v>
      </c>
      <c r="E138" t="s">
        <v>822</v>
      </c>
      <c r="F138" t="s">
        <v>823</v>
      </c>
      <c r="G138" t="s">
        <v>824</v>
      </c>
      <c r="H138" t="s">
        <v>825</v>
      </c>
      <c r="I138">
        <v>176</v>
      </c>
      <c r="J138" t="s">
        <v>826</v>
      </c>
      <c r="K138">
        <v>8275</v>
      </c>
      <c r="L138">
        <v>21</v>
      </c>
      <c r="M138">
        <v>21</v>
      </c>
      <c r="N138">
        <v>93</v>
      </c>
      <c r="O138">
        <v>348404</v>
      </c>
      <c r="P138">
        <v>580</v>
      </c>
      <c r="Q138" t="s">
        <v>25</v>
      </c>
    </row>
    <row r="139" spans="1:17">
      <c r="A139" t="s">
        <v>608</v>
      </c>
      <c r="B139">
        <v>38</v>
      </c>
      <c r="C139" t="s">
        <v>18</v>
      </c>
      <c r="D139" t="s">
        <v>827</v>
      </c>
      <c r="E139" t="s">
        <v>751</v>
      </c>
      <c r="F139" t="s">
        <v>828</v>
      </c>
      <c r="G139" t="s">
        <v>829</v>
      </c>
      <c r="H139" t="s">
        <v>830</v>
      </c>
      <c r="I139">
        <v>471</v>
      </c>
      <c r="J139" t="s">
        <v>831</v>
      </c>
      <c r="K139">
        <v>1516</v>
      </c>
      <c r="L139">
        <v>38</v>
      </c>
      <c r="M139">
        <v>38</v>
      </c>
      <c r="N139">
        <v>41</v>
      </c>
      <c r="O139">
        <v>120971</v>
      </c>
      <c r="P139">
        <v>27</v>
      </c>
      <c r="Q139" t="s">
        <v>25</v>
      </c>
    </row>
    <row r="140" spans="1:17">
      <c r="A140" t="s">
        <v>608</v>
      </c>
      <c r="B140">
        <v>39</v>
      </c>
      <c r="C140" t="s">
        <v>18</v>
      </c>
      <c r="D140" t="s">
        <v>832</v>
      </c>
      <c r="E140" t="s">
        <v>833</v>
      </c>
      <c r="F140" t="s">
        <v>834</v>
      </c>
      <c r="G140" t="s">
        <v>835</v>
      </c>
      <c r="H140" t="s">
        <v>836</v>
      </c>
      <c r="I140">
        <v>296</v>
      </c>
      <c r="J140" t="s">
        <v>837</v>
      </c>
      <c r="K140">
        <v>663</v>
      </c>
      <c r="L140">
        <v>31</v>
      </c>
      <c r="M140">
        <v>31</v>
      </c>
      <c r="N140">
        <v>37</v>
      </c>
      <c r="O140">
        <v>142646</v>
      </c>
      <c r="P140">
        <v>32</v>
      </c>
      <c r="Q140" t="s">
        <v>25</v>
      </c>
    </row>
    <row r="141" spans="1:17">
      <c r="A141" t="s">
        <v>608</v>
      </c>
      <c r="B141">
        <v>40</v>
      </c>
      <c r="C141" t="s">
        <v>18</v>
      </c>
      <c r="D141" t="s">
        <v>838</v>
      </c>
      <c r="E141" t="s">
        <v>839</v>
      </c>
      <c r="F141" t="s">
        <v>840</v>
      </c>
      <c r="G141" t="s">
        <v>841</v>
      </c>
      <c r="H141" t="s">
        <v>842</v>
      </c>
      <c r="I141">
        <v>203</v>
      </c>
      <c r="J141" t="s">
        <v>843</v>
      </c>
      <c r="K141">
        <v>910</v>
      </c>
      <c r="L141">
        <v>56</v>
      </c>
      <c r="M141">
        <v>56</v>
      </c>
      <c r="N141">
        <v>27</v>
      </c>
      <c r="O141">
        <v>101256</v>
      </c>
      <c r="P141">
        <v>26</v>
      </c>
      <c r="Q141" t="s">
        <v>25</v>
      </c>
    </row>
    <row r="142" spans="1:17">
      <c r="A142" t="s">
        <v>608</v>
      </c>
      <c r="B142">
        <v>41</v>
      </c>
      <c r="C142" t="s">
        <v>18</v>
      </c>
      <c r="D142" t="s">
        <v>844</v>
      </c>
      <c r="E142" t="s">
        <v>845</v>
      </c>
      <c r="F142" t="s">
        <v>846</v>
      </c>
      <c r="G142" t="s">
        <v>847</v>
      </c>
      <c r="H142" t="s">
        <v>848</v>
      </c>
      <c r="I142">
        <v>572</v>
      </c>
      <c r="J142" t="s">
        <v>849</v>
      </c>
      <c r="K142">
        <v>250</v>
      </c>
      <c r="L142">
        <v>39</v>
      </c>
      <c r="M142">
        <v>39</v>
      </c>
      <c r="N142">
        <v>12</v>
      </c>
      <c r="O142">
        <v>24128</v>
      </c>
      <c r="P142">
        <v>5</v>
      </c>
      <c r="Q142" t="s">
        <v>25</v>
      </c>
    </row>
    <row r="143" spans="1:17">
      <c r="A143" t="s">
        <v>608</v>
      </c>
      <c r="B143">
        <v>42</v>
      </c>
      <c r="C143" t="s">
        <v>18</v>
      </c>
      <c r="D143" t="s">
        <v>850</v>
      </c>
      <c r="E143" t="s">
        <v>851</v>
      </c>
      <c r="F143" t="s">
        <v>852</v>
      </c>
      <c r="G143" t="s">
        <v>853</v>
      </c>
      <c r="H143" t="s">
        <v>854</v>
      </c>
      <c r="I143">
        <v>421</v>
      </c>
      <c r="J143" t="s">
        <v>855</v>
      </c>
      <c r="K143">
        <v>1206</v>
      </c>
      <c r="L143">
        <v>14</v>
      </c>
      <c r="M143">
        <v>14</v>
      </c>
      <c r="N143">
        <v>40</v>
      </c>
      <c r="O143">
        <v>129107</v>
      </c>
      <c r="P143">
        <v>30</v>
      </c>
      <c r="Q143" t="s">
        <v>25</v>
      </c>
    </row>
    <row r="144" spans="1:17">
      <c r="A144" t="s">
        <v>608</v>
      </c>
      <c r="B144">
        <v>43</v>
      </c>
      <c r="C144" t="s">
        <v>18</v>
      </c>
      <c r="D144" t="s">
        <v>856</v>
      </c>
      <c r="E144" t="s">
        <v>857</v>
      </c>
      <c r="F144" t="s">
        <v>858</v>
      </c>
      <c r="G144" t="s">
        <v>859</v>
      </c>
      <c r="H144" t="s">
        <v>860</v>
      </c>
      <c r="I144">
        <v>291</v>
      </c>
      <c r="J144" t="s">
        <v>861</v>
      </c>
      <c r="K144">
        <v>675</v>
      </c>
      <c r="L144">
        <v>55</v>
      </c>
      <c r="M144">
        <v>55</v>
      </c>
      <c r="N144">
        <v>38</v>
      </c>
      <c r="O144">
        <v>92024</v>
      </c>
      <c r="P144">
        <v>15</v>
      </c>
      <c r="Q144" t="s">
        <v>25</v>
      </c>
    </row>
    <row r="145" spans="1:17">
      <c r="A145" t="s">
        <v>608</v>
      </c>
      <c r="B145">
        <v>44</v>
      </c>
      <c r="C145" t="s">
        <v>18</v>
      </c>
      <c r="D145" t="s">
        <v>862</v>
      </c>
      <c r="E145" t="s">
        <v>863</v>
      </c>
      <c r="F145" t="s">
        <v>864</v>
      </c>
      <c r="G145" t="s">
        <v>865</v>
      </c>
      <c r="H145" t="s">
        <v>866</v>
      </c>
      <c r="I145">
        <v>161</v>
      </c>
      <c r="J145" t="s">
        <v>867</v>
      </c>
      <c r="K145">
        <v>2169</v>
      </c>
      <c r="L145">
        <v>21</v>
      </c>
      <c r="M145">
        <v>21</v>
      </c>
      <c r="N145">
        <v>94</v>
      </c>
      <c r="O145">
        <v>289391</v>
      </c>
      <c r="P145">
        <v>86</v>
      </c>
      <c r="Q145" t="s">
        <v>25</v>
      </c>
    </row>
    <row r="146" spans="1:17">
      <c r="A146" t="s">
        <v>608</v>
      </c>
      <c r="B146">
        <v>45</v>
      </c>
      <c r="C146" t="s">
        <v>18</v>
      </c>
      <c r="D146" t="s">
        <v>868</v>
      </c>
      <c r="E146" t="s">
        <v>869</v>
      </c>
      <c r="F146" t="s">
        <v>870</v>
      </c>
      <c r="G146" t="s">
        <v>871</v>
      </c>
      <c r="H146" t="s">
        <v>872</v>
      </c>
      <c r="I146">
        <v>223</v>
      </c>
      <c r="J146" t="s">
        <v>873</v>
      </c>
      <c r="K146">
        <v>11377</v>
      </c>
      <c r="L146">
        <v>15</v>
      </c>
      <c r="M146">
        <v>15</v>
      </c>
      <c r="N146">
        <v>175</v>
      </c>
      <c r="O146">
        <v>405518</v>
      </c>
      <c r="P146">
        <v>1573</v>
      </c>
      <c r="Q146" t="s">
        <v>25</v>
      </c>
    </row>
    <row r="147" spans="1:17">
      <c r="A147" t="s">
        <v>608</v>
      </c>
      <c r="B147">
        <v>46</v>
      </c>
      <c r="C147" t="s">
        <v>18</v>
      </c>
      <c r="D147" t="s">
        <v>874</v>
      </c>
      <c r="E147" t="s">
        <v>875</v>
      </c>
      <c r="F147" t="s">
        <v>876</v>
      </c>
      <c r="G147" t="s">
        <v>877</v>
      </c>
      <c r="H147" t="s">
        <v>878</v>
      </c>
      <c r="I147">
        <v>345</v>
      </c>
      <c r="J147" t="s">
        <v>879</v>
      </c>
      <c r="K147">
        <v>1308</v>
      </c>
      <c r="L147">
        <v>28</v>
      </c>
      <c r="M147">
        <v>28</v>
      </c>
      <c r="N147">
        <v>63</v>
      </c>
      <c r="O147">
        <v>145685</v>
      </c>
      <c r="P147">
        <v>47</v>
      </c>
      <c r="Q147" t="s">
        <v>25</v>
      </c>
    </row>
    <row r="148" spans="1:17">
      <c r="A148" t="s">
        <v>608</v>
      </c>
      <c r="B148">
        <v>47</v>
      </c>
      <c r="C148" t="s">
        <v>18</v>
      </c>
      <c r="D148" t="s">
        <v>880</v>
      </c>
      <c r="E148" t="s">
        <v>881</v>
      </c>
      <c r="F148" t="s">
        <v>882</v>
      </c>
      <c r="G148" t="s">
        <v>883</v>
      </c>
      <c r="H148" t="s">
        <v>884</v>
      </c>
      <c r="I148">
        <v>519</v>
      </c>
      <c r="J148" t="s">
        <v>885</v>
      </c>
      <c r="K148">
        <v>769</v>
      </c>
      <c r="L148">
        <v>18</v>
      </c>
      <c r="M148">
        <v>18</v>
      </c>
      <c r="N148">
        <v>26</v>
      </c>
      <c r="O148">
        <v>69345</v>
      </c>
      <c r="P148">
        <v>25</v>
      </c>
      <c r="Q148" t="s">
        <v>25</v>
      </c>
    </row>
    <row r="149" spans="1:17">
      <c r="A149" t="s">
        <v>608</v>
      </c>
      <c r="B149">
        <v>48</v>
      </c>
      <c r="C149" t="s">
        <v>18</v>
      </c>
      <c r="D149" t="s">
        <v>886</v>
      </c>
      <c r="E149" t="s">
        <v>692</v>
      </c>
      <c r="F149" t="s">
        <v>887</v>
      </c>
      <c r="G149" t="s">
        <v>888</v>
      </c>
      <c r="H149" t="s">
        <v>889</v>
      </c>
      <c r="I149">
        <v>406</v>
      </c>
      <c r="J149" t="s">
        <v>890</v>
      </c>
      <c r="K149">
        <v>3792</v>
      </c>
      <c r="L149">
        <v>28</v>
      </c>
      <c r="M149">
        <v>28</v>
      </c>
      <c r="N149">
        <v>60</v>
      </c>
      <c r="O149">
        <v>261158</v>
      </c>
      <c r="P149">
        <v>55</v>
      </c>
      <c r="Q149" t="s">
        <v>25</v>
      </c>
    </row>
    <row r="150" spans="1:17">
      <c r="A150" t="s">
        <v>608</v>
      </c>
      <c r="B150">
        <v>49</v>
      </c>
      <c r="C150" t="s">
        <v>18</v>
      </c>
      <c r="D150" t="s">
        <v>891</v>
      </c>
      <c r="E150" t="s">
        <v>258</v>
      </c>
      <c r="F150" t="s">
        <v>892</v>
      </c>
      <c r="G150" t="s">
        <v>893</v>
      </c>
      <c r="H150" t="s">
        <v>894</v>
      </c>
      <c r="I150">
        <v>439</v>
      </c>
      <c r="J150" t="s">
        <v>895</v>
      </c>
      <c r="K150">
        <v>294</v>
      </c>
      <c r="L150">
        <v>12</v>
      </c>
      <c r="M150">
        <v>12</v>
      </c>
      <c r="N150">
        <v>17</v>
      </c>
      <c r="O150">
        <v>34508</v>
      </c>
      <c r="P150">
        <v>9</v>
      </c>
      <c r="Q150" t="s">
        <v>25</v>
      </c>
    </row>
    <row r="151" spans="1:17">
      <c r="A151" t="s">
        <v>608</v>
      </c>
      <c r="B151">
        <v>50</v>
      </c>
      <c r="C151" t="s">
        <v>18</v>
      </c>
      <c r="D151" t="s">
        <v>896</v>
      </c>
      <c r="E151" t="s">
        <v>897</v>
      </c>
      <c r="F151" t="s">
        <v>898</v>
      </c>
      <c r="G151" t="s">
        <v>899</v>
      </c>
      <c r="H151" t="s">
        <v>900</v>
      </c>
      <c r="I151">
        <v>346</v>
      </c>
      <c r="J151" t="s">
        <v>901</v>
      </c>
      <c r="K151">
        <v>627</v>
      </c>
      <c r="L151">
        <v>21</v>
      </c>
      <c r="M151">
        <v>21</v>
      </c>
      <c r="N151">
        <v>45</v>
      </c>
      <c r="O151">
        <v>144112</v>
      </c>
      <c r="P151">
        <v>31</v>
      </c>
      <c r="Q151" t="s">
        <v>25</v>
      </c>
    </row>
    <row r="152" spans="1:17">
      <c r="A152" t="s">
        <v>608</v>
      </c>
      <c r="B152">
        <v>51</v>
      </c>
      <c r="C152" t="s">
        <v>18</v>
      </c>
      <c r="D152" t="s">
        <v>902</v>
      </c>
      <c r="E152" t="s">
        <v>903</v>
      </c>
      <c r="F152" t="s">
        <v>904</v>
      </c>
      <c r="G152" t="s">
        <v>905</v>
      </c>
      <c r="H152" t="s">
        <v>906</v>
      </c>
      <c r="I152">
        <v>158</v>
      </c>
      <c r="J152" t="s">
        <v>907</v>
      </c>
      <c r="K152">
        <v>325</v>
      </c>
      <c r="L152">
        <v>6</v>
      </c>
      <c r="M152">
        <v>6</v>
      </c>
      <c r="N152">
        <v>6</v>
      </c>
      <c r="O152">
        <v>20734</v>
      </c>
      <c r="P152">
        <v>5</v>
      </c>
      <c r="Q152" t="s">
        <v>25</v>
      </c>
    </row>
    <row r="153" spans="1:17">
      <c r="A153" t="s">
        <v>608</v>
      </c>
      <c r="B153">
        <v>52</v>
      </c>
      <c r="C153" t="s">
        <v>18</v>
      </c>
      <c r="D153" t="s">
        <v>908</v>
      </c>
      <c r="E153" t="s">
        <v>909</v>
      </c>
      <c r="F153" t="s">
        <v>910</v>
      </c>
      <c r="G153" t="s">
        <v>911</v>
      </c>
      <c r="H153" t="s">
        <v>912</v>
      </c>
      <c r="I153">
        <v>148</v>
      </c>
      <c r="J153" t="s">
        <v>913</v>
      </c>
      <c r="K153">
        <v>320</v>
      </c>
      <c r="L153">
        <v>14</v>
      </c>
      <c r="M153">
        <v>14</v>
      </c>
      <c r="N153">
        <v>18</v>
      </c>
      <c r="O153">
        <v>41193</v>
      </c>
      <c r="P153">
        <v>12</v>
      </c>
      <c r="Q153" t="s">
        <v>25</v>
      </c>
    </row>
    <row r="154" spans="1:17">
      <c r="A154" t="s">
        <v>608</v>
      </c>
      <c r="B154">
        <v>53</v>
      </c>
      <c r="C154" t="s">
        <v>18</v>
      </c>
      <c r="D154" t="s">
        <v>914</v>
      </c>
      <c r="E154" t="s">
        <v>915</v>
      </c>
      <c r="F154" t="s">
        <v>916</v>
      </c>
      <c r="G154" t="s">
        <v>917</v>
      </c>
      <c r="H154" t="s">
        <v>918</v>
      </c>
      <c r="I154">
        <v>533</v>
      </c>
      <c r="J154" t="s">
        <v>919</v>
      </c>
      <c r="K154">
        <v>497</v>
      </c>
      <c r="L154">
        <v>29</v>
      </c>
      <c r="M154">
        <v>29</v>
      </c>
      <c r="N154">
        <v>30</v>
      </c>
      <c r="O154">
        <v>116029</v>
      </c>
      <c r="P154">
        <v>22</v>
      </c>
      <c r="Q154" t="s">
        <v>25</v>
      </c>
    </row>
    <row r="155" spans="1:17">
      <c r="A155" t="s">
        <v>608</v>
      </c>
      <c r="B155">
        <v>54</v>
      </c>
      <c r="C155" t="s">
        <v>18</v>
      </c>
      <c r="D155" t="s">
        <v>920</v>
      </c>
      <c r="E155" t="s">
        <v>921</v>
      </c>
      <c r="F155" t="s">
        <v>922</v>
      </c>
      <c r="G155" t="s">
        <v>923</v>
      </c>
      <c r="H155" t="s">
        <v>924</v>
      </c>
      <c r="I155">
        <v>516</v>
      </c>
      <c r="J155" t="s">
        <v>925</v>
      </c>
      <c r="K155">
        <v>370</v>
      </c>
      <c r="L155">
        <v>82</v>
      </c>
      <c r="M155">
        <v>82</v>
      </c>
      <c r="N155">
        <v>11</v>
      </c>
      <c r="O155">
        <v>32866</v>
      </c>
      <c r="P155">
        <v>9</v>
      </c>
      <c r="Q155" t="s">
        <v>25</v>
      </c>
    </row>
    <row r="156" spans="1:17">
      <c r="A156" t="s">
        <v>608</v>
      </c>
      <c r="B156">
        <v>55</v>
      </c>
      <c r="C156" t="s">
        <v>18</v>
      </c>
      <c r="D156" t="s">
        <v>926</v>
      </c>
      <c r="E156" t="s">
        <v>927</v>
      </c>
      <c r="F156" t="s">
        <v>928</v>
      </c>
      <c r="G156" t="s">
        <v>929</v>
      </c>
      <c r="H156" t="s">
        <v>930</v>
      </c>
      <c r="I156">
        <v>567</v>
      </c>
      <c r="J156" t="s">
        <v>931</v>
      </c>
      <c r="K156">
        <v>519</v>
      </c>
      <c r="L156">
        <v>12</v>
      </c>
      <c r="M156">
        <v>12</v>
      </c>
      <c r="N156">
        <v>32</v>
      </c>
      <c r="O156">
        <v>100606</v>
      </c>
      <c r="P156">
        <v>26</v>
      </c>
      <c r="Q156" t="s">
        <v>25</v>
      </c>
    </row>
    <row r="157" spans="1:17">
      <c r="A157" t="s">
        <v>608</v>
      </c>
      <c r="B157">
        <v>56</v>
      </c>
      <c r="C157" t="s">
        <v>18</v>
      </c>
      <c r="D157" t="s">
        <v>932</v>
      </c>
      <c r="E157" t="s">
        <v>933</v>
      </c>
      <c r="F157" t="s">
        <v>934</v>
      </c>
      <c r="G157" t="s">
        <v>935</v>
      </c>
      <c r="H157" t="s">
        <v>936</v>
      </c>
      <c r="I157">
        <v>297</v>
      </c>
      <c r="J157" t="s">
        <v>937</v>
      </c>
      <c r="K157">
        <v>439</v>
      </c>
      <c r="L157">
        <v>21</v>
      </c>
      <c r="M157">
        <v>21</v>
      </c>
      <c r="N157">
        <v>22</v>
      </c>
      <c r="O157">
        <v>77975</v>
      </c>
      <c r="P157">
        <v>17</v>
      </c>
      <c r="Q157" t="s">
        <v>25</v>
      </c>
    </row>
    <row r="158" spans="1:17">
      <c r="A158" t="s">
        <v>608</v>
      </c>
      <c r="B158">
        <v>57</v>
      </c>
      <c r="C158" t="s">
        <v>18</v>
      </c>
      <c r="D158" t="s">
        <v>938</v>
      </c>
      <c r="E158" t="s">
        <v>939</v>
      </c>
      <c r="F158" t="s">
        <v>940</v>
      </c>
      <c r="G158" t="s">
        <v>941</v>
      </c>
      <c r="H158" t="s">
        <v>942</v>
      </c>
      <c r="I158">
        <v>191</v>
      </c>
      <c r="J158" t="s">
        <v>943</v>
      </c>
      <c r="K158">
        <v>530</v>
      </c>
      <c r="L158">
        <v>31</v>
      </c>
      <c r="M158">
        <v>31</v>
      </c>
      <c r="N158">
        <v>35</v>
      </c>
      <c r="O158">
        <v>100254</v>
      </c>
      <c r="P158">
        <v>12</v>
      </c>
      <c r="Q158" t="s">
        <v>44</v>
      </c>
    </row>
    <row r="159" spans="1:17">
      <c r="A159" t="s">
        <v>608</v>
      </c>
      <c r="B159">
        <v>58</v>
      </c>
      <c r="C159" t="s">
        <v>18</v>
      </c>
      <c r="D159" t="s">
        <v>944</v>
      </c>
      <c r="E159" t="s">
        <v>763</v>
      </c>
      <c r="F159" t="s">
        <v>945</v>
      </c>
      <c r="G159" t="s">
        <v>946</v>
      </c>
      <c r="H159" t="s">
        <v>947</v>
      </c>
      <c r="I159">
        <v>283</v>
      </c>
      <c r="J159" t="s">
        <v>948</v>
      </c>
      <c r="K159">
        <v>762</v>
      </c>
      <c r="L159">
        <v>3</v>
      </c>
      <c r="M159">
        <v>3</v>
      </c>
      <c r="N159">
        <v>41</v>
      </c>
      <c r="O159">
        <v>89347</v>
      </c>
      <c r="P159">
        <v>20</v>
      </c>
      <c r="Q159" t="s">
        <v>25</v>
      </c>
    </row>
    <row r="160" spans="1:17">
      <c r="A160" t="s">
        <v>608</v>
      </c>
      <c r="B160">
        <v>59</v>
      </c>
      <c r="C160" t="s">
        <v>18</v>
      </c>
      <c r="D160" t="s">
        <v>949</v>
      </c>
      <c r="E160" t="s">
        <v>567</v>
      </c>
      <c r="F160" t="s">
        <v>950</v>
      </c>
      <c r="G160" t="s">
        <v>951</v>
      </c>
      <c r="H160" t="s">
        <v>952</v>
      </c>
      <c r="I160">
        <v>812</v>
      </c>
      <c r="J160" t="s">
        <v>953</v>
      </c>
      <c r="K160">
        <v>321</v>
      </c>
      <c r="L160">
        <v>17</v>
      </c>
      <c r="M160">
        <v>17</v>
      </c>
      <c r="N160">
        <v>24</v>
      </c>
      <c r="O160">
        <v>154520</v>
      </c>
      <c r="P160">
        <v>23</v>
      </c>
      <c r="Q160" t="s">
        <v>25</v>
      </c>
    </row>
    <row r="161" spans="1:17">
      <c r="A161" t="s">
        <v>608</v>
      </c>
      <c r="B161">
        <v>60</v>
      </c>
      <c r="C161" t="s">
        <v>18</v>
      </c>
      <c r="D161" t="s">
        <v>954</v>
      </c>
      <c r="E161" t="s">
        <v>955</v>
      </c>
      <c r="F161" t="s">
        <v>956</v>
      </c>
      <c r="G161" t="s">
        <v>957</v>
      </c>
      <c r="H161" t="s">
        <v>958</v>
      </c>
      <c r="I161">
        <v>151</v>
      </c>
      <c r="J161" t="s">
        <v>959</v>
      </c>
      <c r="K161">
        <v>12573</v>
      </c>
      <c r="L161">
        <v>23</v>
      </c>
      <c r="M161">
        <v>23</v>
      </c>
      <c r="N161">
        <v>31</v>
      </c>
      <c r="O161">
        <v>117085</v>
      </c>
      <c r="P161">
        <v>15</v>
      </c>
      <c r="Q161" t="s">
        <v>44</v>
      </c>
    </row>
    <row r="162" spans="1:17">
      <c r="A162" t="s">
        <v>608</v>
      </c>
      <c r="B162">
        <v>61</v>
      </c>
      <c r="C162" t="s">
        <v>18</v>
      </c>
      <c r="D162" t="s">
        <v>960</v>
      </c>
      <c r="E162" t="s">
        <v>716</v>
      </c>
      <c r="F162" t="s">
        <v>961</v>
      </c>
      <c r="G162" t="s">
        <v>962</v>
      </c>
      <c r="H162" t="s">
        <v>963</v>
      </c>
      <c r="I162">
        <v>443</v>
      </c>
      <c r="J162" t="s">
        <v>964</v>
      </c>
      <c r="K162">
        <v>308</v>
      </c>
      <c r="L162">
        <v>28</v>
      </c>
      <c r="M162">
        <v>28</v>
      </c>
      <c r="N162">
        <v>15</v>
      </c>
      <c r="O162">
        <v>31235</v>
      </c>
      <c r="P162">
        <v>14</v>
      </c>
      <c r="Q162" t="s">
        <v>25</v>
      </c>
    </row>
    <row r="163" spans="1:17">
      <c r="A163" t="s">
        <v>608</v>
      </c>
      <c r="B163">
        <v>62</v>
      </c>
      <c r="C163" t="s">
        <v>18</v>
      </c>
      <c r="D163" t="s">
        <v>965</v>
      </c>
      <c r="E163" t="s">
        <v>966</v>
      </c>
      <c r="F163" t="s">
        <v>967</v>
      </c>
      <c r="G163" t="s">
        <v>968</v>
      </c>
      <c r="H163" t="s">
        <v>969</v>
      </c>
      <c r="I163">
        <v>320</v>
      </c>
      <c r="J163" t="s">
        <v>970</v>
      </c>
      <c r="K163">
        <v>762</v>
      </c>
      <c r="L163">
        <v>19</v>
      </c>
      <c r="M163">
        <v>19</v>
      </c>
      <c r="N163">
        <v>30</v>
      </c>
      <c r="O163">
        <v>106484</v>
      </c>
      <c r="P163">
        <v>28</v>
      </c>
      <c r="Q163" t="s">
        <v>25</v>
      </c>
    </row>
    <row r="164" spans="1:17">
      <c r="A164" t="s">
        <v>608</v>
      </c>
      <c r="B164">
        <v>63</v>
      </c>
      <c r="C164" t="s">
        <v>18</v>
      </c>
      <c r="D164" t="s">
        <v>971</v>
      </c>
      <c r="E164" t="s">
        <v>972</v>
      </c>
      <c r="F164" t="s">
        <v>973</v>
      </c>
      <c r="G164" t="s">
        <v>974</v>
      </c>
      <c r="H164" t="s">
        <v>975</v>
      </c>
      <c r="I164">
        <v>442</v>
      </c>
      <c r="J164" t="s">
        <v>976</v>
      </c>
      <c r="K164">
        <v>7737</v>
      </c>
      <c r="L164">
        <v>17</v>
      </c>
      <c r="M164">
        <v>17</v>
      </c>
      <c r="N164">
        <v>490</v>
      </c>
      <c r="O164">
        <v>2114365</v>
      </c>
      <c r="P164">
        <v>980</v>
      </c>
      <c r="Q164" t="s">
        <v>25</v>
      </c>
    </row>
    <row r="165" spans="1:17">
      <c r="A165" t="s">
        <v>608</v>
      </c>
      <c r="B165">
        <v>64</v>
      </c>
      <c r="C165" t="s">
        <v>18</v>
      </c>
      <c r="D165" t="s">
        <v>977</v>
      </c>
      <c r="E165" t="s">
        <v>978</v>
      </c>
      <c r="F165" t="s">
        <v>979</v>
      </c>
      <c r="G165" t="s">
        <v>980</v>
      </c>
      <c r="H165" t="s">
        <v>981</v>
      </c>
      <c r="I165">
        <v>455</v>
      </c>
      <c r="J165" t="s">
        <v>982</v>
      </c>
      <c r="K165">
        <v>711</v>
      </c>
      <c r="L165">
        <v>53</v>
      </c>
      <c r="M165">
        <v>53</v>
      </c>
      <c r="N165">
        <v>33</v>
      </c>
      <c r="O165">
        <v>97693</v>
      </c>
      <c r="P165">
        <v>28</v>
      </c>
      <c r="Q165" t="s">
        <v>25</v>
      </c>
    </row>
    <row r="166" spans="1:17">
      <c r="A166" t="s">
        <v>608</v>
      </c>
      <c r="B166">
        <v>65</v>
      </c>
      <c r="C166" t="s">
        <v>18</v>
      </c>
      <c r="D166" t="s">
        <v>983</v>
      </c>
      <c r="E166" t="s">
        <v>984</v>
      </c>
      <c r="F166" t="s">
        <v>985</v>
      </c>
      <c r="G166" t="s">
        <v>986</v>
      </c>
      <c r="H166" t="s">
        <v>987</v>
      </c>
      <c r="I166">
        <v>222</v>
      </c>
      <c r="J166" t="s">
        <v>988</v>
      </c>
      <c r="K166">
        <v>622</v>
      </c>
      <c r="L166">
        <v>38</v>
      </c>
      <c r="M166">
        <v>38</v>
      </c>
      <c r="N166">
        <v>28</v>
      </c>
      <c r="O166">
        <v>81294</v>
      </c>
      <c r="P166">
        <v>26</v>
      </c>
      <c r="Q166" t="s">
        <v>25</v>
      </c>
    </row>
    <row r="167" spans="1:17">
      <c r="A167" t="s">
        <v>608</v>
      </c>
      <c r="B167">
        <v>66</v>
      </c>
      <c r="C167" t="s">
        <v>18</v>
      </c>
      <c r="D167" t="s">
        <v>989</v>
      </c>
      <c r="E167" t="s">
        <v>990</v>
      </c>
      <c r="F167" t="s">
        <v>991</v>
      </c>
      <c r="G167" t="s">
        <v>992</v>
      </c>
      <c r="H167" t="s">
        <v>993</v>
      </c>
      <c r="I167">
        <v>107</v>
      </c>
      <c r="J167" t="s">
        <v>994</v>
      </c>
      <c r="K167">
        <v>790</v>
      </c>
      <c r="L167">
        <v>18</v>
      </c>
      <c r="M167">
        <v>18</v>
      </c>
      <c r="N167">
        <v>51</v>
      </c>
      <c r="O167">
        <v>117977</v>
      </c>
      <c r="P167">
        <v>52</v>
      </c>
      <c r="Q167" t="s">
        <v>25</v>
      </c>
    </row>
    <row r="168" spans="1:17">
      <c r="A168" t="s">
        <v>608</v>
      </c>
      <c r="B168">
        <v>67</v>
      </c>
      <c r="C168" t="s">
        <v>18</v>
      </c>
      <c r="D168" t="s">
        <v>995</v>
      </c>
      <c r="E168" t="s">
        <v>996</v>
      </c>
      <c r="F168" t="s">
        <v>997</v>
      </c>
      <c r="G168" t="s">
        <v>998</v>
      </c>
      <c r="H168" t="s">
        <v>999</v>
      </c>
      <c r="I168">
        <v>209</v>
      </c>
      <c r="J168" t="s">
        <v>1000</v>
      </c>
      <c r="K168">
        <v>479</v>
      </c>
      <c r="L168">
        <v>17</v>
      </c>
      <c r="M168">
        <v>17</v>
      </c>
      <c r="N168">
        <v>10</v>
      </c>
      <c r="O168">
        <v>28919</v>
      </c>
      <c r="P168">
        <v>13</v>
      </c>
      <c r="Q168" t="s">
        <v>25</v>
      </c>
    </row>
    <row r="169" spans="1:17">
      <c r="A169" t="s">
        <v>608</v>
      </c>
      <c r="B169">
        <v>68</v>
      </c>
      <c r="C169" t="s">
        <v>18</v>
      </c>
      <c r="D169" t="s">
        <v>1001</v>
      </c>
      <c r="E169" t="s">
        <v>1002</v>
      </c>
      <c r="F169" t="s">
        <v>1003</v>
      </c>
      <c r="G169" t="s">
        <v>1004</v>
      </c>
      <c r="H169" t="s">
        <v>1005</v>
      </c>
      <c r="I169">
        <v>201</v>
      </c>
      <c r="J169" t="s">
        <v>1006</v>
      </c>
      <c r="K169">
        <v>3586</v>
      </c>
      <c r="L169">
        <v>13</v>
      </c>
      <c r="M169">
        <v>13</v>
      </c>
      <c r="N169">
        <v>41</v>
      </c>
      <c r="O169">
        <v>65327</v>
      </c>
      <c r="P169">
        <v>42</v>
      </c>
      <c r="Q169" t="s">
        <v>25</v>
      </c>
    </row>
    <row r="170" spans="1:17">
      <c r="A170" t="s">
        <v>608</v>
      </c>
      <c r="B170">
        <v>69</v>
      </c>
      <c r="C170" t="s">
        <v>18</v>
      </c>
      <c r="D170" t="s">
        <v>1007</v>
      </c>
      <c r="E170" t="s">
        <v>1008</v>
      </c>
      <c r="F170" t="s">
        <v>1009</v>
      </c>
      <c r="G170" t="s">
        <v>1010</v>
      </c>
      <c r="H170" t="s">
        <v>1011</v>
      </c>
      <c r="I170">
        <v>416</v>
      </c>
      <c r="J170" t="s">
        <v>1012</v>
      </c>
      <c r="K170">
        <v>2822</v>
      </c>
      <c r="L170">
        <v>13</v>
      </c>
      <c r="M170">
        <v>13</v>
      </c>
      <c r="N170">
        <v>62</v>
      </c>
      <c r="O170">
        <v>319539</v>
      </c>
      <c r="P170">
        <v>64</v>
      </c>
      <c r="Q170" t="s">
        <v>25</v>
      </c>
    </row>
    <row r="171" spans="1:17">
      <c r="A171" t="s">
        <v>608</v>
      </c>
      <c r="B171">
        <v>70</v>
      </c>
      <c r="C171" t="s">
        <v>18</v>
      </c>
      <c r="D171" t="s">
        <v>1013</v>
      </c>
      <c r="E171" t="s">
        <v>650</v>
      </c>
      <c r="F171" t="s">
        <v>1014</v>
      </c>
      <c r="G171" t="s">
        <v>1015</v>
      </c>
      <c r="H171" t="s">
        <v>1016</v>
      </c>
      <c r="I171">
        <v>322</v>
      </c>
      <c r="J171" t="s">
        <v>1017</v>
      </c>
      <c r="K171">
        <v>1252</v>
      </c>
      <c r="L171">
        <v>24</v>
      </c>
      <c r="M171">
        <v>24</v>
      </c>
      <c r="N171">
        <v>25</v>
      </c>
      <c r="O171">
        <v>161952</v>
      </c>
      <c r="P171">
        <v>27</v>
      </c>
      <c r="Q171" t="s">
        <v>44</v>
      </c>
    </row>
    <row r="172" spans="1:17">
      <c r="A172" t="s">
        <v>608</v>
      </c>
      <c r="B172">
        <v>71</v>
      </c>
      <c r="C172" t="s">
        <v>18</v>
      </c>
      <c r="D172" t="s">
        <v>1018</v>
      </c>
      <c r="E172" t="s">
        <v>1019</v>
      </c>
      <c r="F172" t="s">
        <v>1020</v>
      </c>
      <c r="G172" t="s">
        <v>1021</v>
      </c>
      <c r="H172" t="s">
        <v>1022</v>
      </c>
      <c r="I172">
        <v>262</v>
      </c>
      <c r="J172" t="s">
        <v>1023</v>
      </c>
      <c r="K172">
        <v>12748</v>
      </c>
      <c r="L172">
        <v>6</v>
      </c>
      <c r="M172">
        <v>6</v>
      </c>
      <c r="N172">
        <v>135</v>
      </c>
      <c r="O172">
        <v>478061</v>
      </c>
      <c r="P172">
        <v>495</v>
      </c>
      <c r="Q172" t="s">
        <v>25</v>
      </c>
    </row>
    <row r="173" spans="1:17">
      <c r="A173" t="s">
        <v>608</v>
      </c>
      <c r="B173">
        <v>72</v>
      </c>
      <c r="C173" t="s">
        <v>18</v>
      </c>
      <c r="D173" t="s">
        <v>1024</v>
      </c>
      <c r="E173" t="s">
        <v>1025</v>
      </c>
      <c r="F173" t="s">
        <v>1026</v>
      </c>
      <c r="G173" t="s">
        <v>1027</v>
      </c>
      <c r="H173" t="s">
        <v>1028</v>
      </c>
      <c r="I173">
        <v>396</v>
      </c>
      <c r="J173" t="s">
        <v>1029</v>
      </c>
      <c r="K173">
        <v>136</v>
      </c>
      <c r="L173">
        <v>13</v>
      </c>
      <c r="M173">
        <v>13</v>
      </c>
      <c r="N173">
        <v>60</v>
      </c>
      <c r="O173">
        <v>87899</v>
      </c>
      <c r="P173">
        <v>51</v>
      </c>
      <c r="Q173" t="s">
        <v>25</v>
      </c>
    </row>
    <row r="174" spans="1:17">
      <c r="A174" t="s">
        <v>608</v>
      </c>
      <c r="B174">
        <v>73</v>
      </c>
      <c r="C174" t="s">
        <v>18</v>
      </c>
      <c r="D174" t="s">
        <v>1030</v>
      </c>
      <c r="E174" t="s">
        <v>135</v>
      </c>
      <c r="F174" t="s">
        <v>1031</v>
      </c>
      <c r="G174" t="s">
        <v>1032</v>
      </c>
      <c r="H174" t="s">
        <v>1033</v>
      </c>
      <c r="I174">
        <v>271</v>
      </c>
      <c r="J174" t="s">
        <v>1034</v>
      </c>
      <c r="K174">
        <v>913</v>
      </c>
      <c r="L174">
        <v>9</v>
      </c>
      <c r="M174">
        <v>9</v>
      </c>
      <c r="N174">
        <v>36</v>
      </c>
      <c r="O174">
        <v>258829</v>
      </c>
      <c r="P174">
        <v>35</v>
      </c>
      <c r="Q174" t="s">
        <v>25</v>
      </c>
    </row>
    <row r="175" spans="1:17">
      <c r="A175" t="s">
        <v>608</v>
      </c>
      <c r="B175">
        <v>74</v>
      </c>
      <c r="C175" t="s">
        <v>18</v>
      </c>
      <c r="D175" t="s">
        <v>1035</v>
      </c>
      <c r="E175" t="s">
        <v>1036</v>
      </c>
      <c r="F175" t="s">
        <v>1037</v>
      </c>
      <c r="G175" t="s">
        <v>1038</v>
      </c>
      <c r="H175" t="s">
        <v>1039</v>
      </c>
      <c r="I175">
        <v>220</v>
      </c>
      <c r="J175" t="s">
        <v>1040</v>
      </c>
      <c r="K175">
        <v>440</v>
      </c>
      <c r="L175">
        <v>16</v>
      </c>
      <c r="M175">
        <v>16</v>
      </c>
      <c r="N175">
        <v>28</v>
      </c>
      <c r="O175">
        <v>187556</v>
      </c>
      <c r="P175">
        <v>24</v>
      </c>
      <c r="Q175" t="s">
        <v>25</v>
      </c>
    </row>
    <row r="176" spans="1:17">
      <c r="A176" t="s">
        <v>608</v>
      </c>
      <c r="B176">
        <v>75</v>
      </c>
      <c r="C176" t="s">
        <v>18</v>
      </c>
      <c r="D176" t="s">
        <v>1041</v>
      </c>
      <c r="E176" t="s">
        <v>1042</v>
      </c>
      <c r="F176" t="s">
        <v>1043</v>
      </c>
      <c r="G176" t="s">
        <v>1044</v>
      </c>
      <c r="H176" t="s">
        <v>1045</v>
      </c>
      <c r="I176">
        <v>503</v>
      </c>
      <c r="J176" t="s">
        <v>1046</v>
      </c>
      <c r="K176">
        <v>455</v>
      </c>
      <c r="L176">
        <v>35</v>
      </c>
      <c r="M176">
        <v>35</v>
      </c>
      <c r="N176">
        <v>20</v>
      </c>
      <c r="O176">
        <v>49382</v>
      </c>
      <c r="P176">
        <v>18</v>
      </c>
      <c r="Q176" t="s">
        <v>25</v>
      </c>
    </row>
    <row r="177" spans="1:17">
      <c r="A177" t="s">
        <v>608</v>
      </c>
      <c r="B177">
        <v>76</v>
      </c>
      <c r="C177" t="s">
        <v>18</v>
      </c>
      <c r="D177" t="s">
        <v>1047</v>
      </c>
      <c r="E177" t="s">
        <v>1048</v>
      </c>
      <c r="F177" t="s">
        <v>1049</v>
      </c>
      <c r="G177" t="s">
        <v>1050</v>
      </c>
      <c r="I177">
        <v>0</v>
      </c>
      <c r="J177" t="s">
        <v>1051</v>
      </c>
      <c r="K177">
        <v>111</v>
      </c>
      <c r="L177">
        <v>17</v>
      </c>
      <c r="M177">
        <v>17</v>
      </c>
      <c r="N177">
        <v>2</v>
      </c>
      <c r="O177">
        <v>17699</v>
      </c>
      <c r="P177">
        <v>5</v>
      </c>
      <c r="Q177" t="s">
        <v>25</v>
      </c>
    </row>
    <row r="178" spans="1:17">
      <c r="A178" t="s">
        <v>608</v>
      </c>
      <c r="B178">
        <v>77</v>
      </c>
      <c r="C178" t="s">
        <v>18</v>
      </c>
      <c r="D178" t="s">
        <v>1052</v>
      </c>
      <c r="E178" t="s">
        <v>716</v>
      </c>
      <c r="F178" t="s">
        <v>1053</v>
      </c>
      <c r="G178" t="s">
        <v>1054</v>
      </c>
      <c r="H178" t="s">
        <v>1055</v>
      </c>
      <c r="I178">
        <v>577</v>
      </c>
      <c r="J178" t="s">
        <v>1056</v>
      </c>
      <c r="K178">
        <v>291</v>
      </c>
      <c r="L178">
        <v>14</v>
      </c>
      <c r="M178">
        <v>14</v>
      </c>
      <c r="N178">
        <v>12</v>
      </c>
      <c r="O178">
        <v>25345</v>
      </c>
      <c r="P178">
        <v>11</v>
      </c>
      <c r="Q178" t="s">
        <v>25</v>
      </c>
    </row>
    <row r="179" spans="1:17">
      <c r="A179" t="s">
        <v>608</v>
      </c>
      <c r="B179">
        <v>78</v>
      </c>
      <c r="C179" t="s">
        <v>18</v>
      </c>
      <c r="D179" t="s">
        <v>1057</v>
      </c>
      <c r="E179" t="s">
        <v>451</v>
      </c>
      <c r="F179" t="s">
        <v>1058</v>
      </c>
      <c r="G179" t="s">
        <v>1059</v>
      </c>
      <c r="H179" t="s">
        <v>1060</v>
      </c>
      <c r="I179">
        <v>375</v>
      </c>
      <c r="J179" t="s">
        <v>1061</v>
      </c>
      <c r="K179">
        <v>301</v>
      </c>
      <c r="L179">
        <v>16</v>
      </c>
      <c r="M179">
        <v>16</v>
      </c>
      <c r="N179">
        <v>15</v>
      </c>
      <c r="O179">
        <v>28539</v>
      </c>
      <c r="P179">
        <v>15</v>
      </c>
      <c r="Q179" t="s">
        <v>25</v>
      </c>
    </row>
    <row r="180" spans="1:17">
      <c r="A180" t="s">
        <v>608</v>
      </c>
      <c r="B180">
        <v>79</v>
      </c>
      <c r="C180" t="s">
        <v>18</v>
      </c>
      <c r="D180" t="s">
        <v>1062</v>
      </c>
      <c r="E180" t="s">
        <v>1063</v>
      </c>
      <c r="F180" t="s">
        <v>1064</v>
      </c>
      <c r="G180" t="s">
        <v>1065</v>
      </c>
      <c r="H180" t="s">
        <v>1066</v>
      </c>
      <c r="I180">
        <v>307</v>
      </c>
      <c r="J180" t="s">
        <v>1067</v>
      </c>
      <c r="K180">
        <v>383</v>
      </c>
      <c r="L180">
        <v>19</v>
      </c>
      <c r="M180">
        <v>19</v>
      </c>
      <c r="N180">
        <v>26</v>
      </c>
      <c r="O180">
        <v>60334</v>
      </c>
      <c r="P180">
        <v>20</v>
      </c>
      <c r="Q180" t="s">
        <v>25</v>
      </c>
    </row>
    <row r="181" spans="1:17">
      <c r="A181" t="s">
        <v>608</v>
      </c>
      <c r="B181">
        <v>80</v>
      </c>
      <c r="C181" t="s">
        <v>18</v>
      </c>
      <c r="D181" t="s">
        <v>1068</v>
      </c>
      <c r="E181" t="s">
        <v>1069</v>
      </c>
      <c r="F181" t="s">
        <v>1070</v>
      </c>
      <c r="G181" t="s">
        <v>1071</v>
      </c>
      <c r="H181" t="s">
        <v>1072</v>
      </c>
      <c r="I181">
        <v>236</v>
      </c>
      <c r="J181" t="s">
        <v>1073</v>
      </c>
      <c r="K181">
        <v>1221</v>
      </c>
      <c r="L181">
        <v>31</v>
      </c>
      <c r="M181">
        <v>31</v>
      </c>
      <c r="N181">
        <v>57</v>
      </c>
      <c r="O181">
        <v>206906</v>
      </c>
      <c r="P181">
        <v>175</v>
      </c>
      <c r="Q181" t="s">
        <v>25</v>
      </c>
    </row>
    <row r="182" spans="1:17">
      <c r="A182" t="s">
        <v>608</v>
      </c>
      <c r="B182">
        <v>81</v>
      </c>
      <c r="C182" t="s">
        <v>18</v>
      </c>
      <c r="D182" t="s">
        <v>1074</v>
      </c>
      <c r="E182" t="s">
        <v>1075</v>
      </c>
      <c r="F182" t="s">
        <v>1076</v>
      </c>
      <c r="G182" t="s">
        <v>1077</v>
      </c>
      <c r="H182" t="s">
        <v>1078</v>
      </c>
      <c r="I182">
        <v>447</v>
      </c>
      <c r="J182" t="s">
        <v>1079</v>
      </c>
      <c r="K182">
        <v>772</v>
      </c>
      <c r="L182">
        <v>23</v>
      </c>
      <c r="M182">
        <v>23</v>
      </c>
      <c r="N182">
        <v>25</v>
      </c>
      <c r="O182">
        <v>56882</v>
      </c>
      <c r="P182">
        <v>29</v>
      </c>
      <c r="Q182" t="s">
        <v>25</v>
      </c>
    </row>
    <row r="183" spans="1:17">
      <c r="A183" t="s">
        <v>608</v>
      </c>
      <c r="B183">
        <v>82</v>
      </c>
      <c r="C183" t="s">
        <v>18</v>
      </c>
      <c r="D183" t="s">
        <v>1080</v>
      </c>
      <c r="E183" t="s">
        <v>1081</v>
      </c>
      <c r="F183" t="s">
        <v>1082</v>
      </c>
      <c r="G183" t="s">
        <v>1083</v>
      </c>
      <c r="H183" t="s">
        <v>1084</v>
      </c>
      <c r="I183">
        <v>591</v>
      </c>
      <c r="J183" t="s">
        <v>1085</v>
      </c>
      <c r="K183">
        <v>21592</v>
      </c>
      <c r="L183">
        <v>13</v>
      </c>
      <c r="M183">
        <v>13</v>
      </c>
      <c r="N183">
        <v>304</v>
      </c>
      <c r="O183">
        <v>923901</v>
      </c>
      <c r="P183">
        <v>883</v>
      </c>
      <c r="Q183" t="s">
        <v>44</v>
      </c>
    </row>
    <row r="184" spans="1:17">
      <c r="A184" t="s">
        <v>608</v>
      </c>
      <c r="B184">
        <v>83</v>
      </c>
      <c r="C184" t="s">
        <v>18</v>
      </c>
      <c r="D184" t="s">
        <v>1086</v>
      </c>
      <c r="E184" t="s">
        <v>567</v>
      </c>
      <c r="F184" t="s">
        <v>1087</v>
      </c>
      <c r="G184" t="s">
        <v>1088</v>
      </c>
      <c r="H184" t="s">
        <v>1089</v>
      </c>
      <c r="I184">
        <v>966</v>
      </c>
      <c r="J184" t="s">
        <v>1090</v>
      </c>
      <c r="K184">
        <v>762</v>
      </c>
      <c r="L184">
        <v>6</v>
      </c>
      <c r="M184">
        <v>6</v>
      </c>
      <c r="N184">
        <v>70</v>
      </c>
      <c r="O184">
        <v>358397</v>
      </c>
      <c r="P184">
        <v>35</v>
      </c>
      <c r="Q184" t="s">
        <v>25</v>
      </c>
    </row>
    <row r="185" spans="1:17">
      <c r="A185" t="s">
        <v>608</v>
      </c>
      <c r="B185">
        <v>84</v>
      </c>
      <c r="C185" t="s">
        <v>18</v>
      </c>
      <c r="D185" t="s">
        <v>1091</v>
      </c>
      <c r="E185" t="s">
        <v>1092</v>
      </c>
      <c r="F185" t="s">
        <v>1093</v>
      </c>
      <c r="G185" t="s">
        <v>1094</v>
      </c>
      <c r="H185" t="s">
        <v>1095</v>
      </c>
      <c r="I185">
        <v>429</v>
      </c>
      <c r="J185" t="s">
        <v>1096</v>
      </c>
      <c r="K185">
        <v>177</v>
      </c>
      <c r="L185">
        <v>10</v>
      </c>
      <c r="M185">
        <v>10</v>
      </c>
      <c r="N185">
        <v>5</v>
      </c>
      <c r="O185">
        <v>26023</v>
      </c>
      <c r="P185">
        <v>4</v>
      </c>
      <c r="Q185" t="s">
        <v>25</v>
      </c>
    </row>
    <row r="186" spans="1:17">
      <c r="A186" t="s">
        <v>608</v>
      </c>
      <c r="B186">
        <v>85</v>
      </c>
      <c r="C186" t="s">
        <v>474</v>
      </c>
      <c r="D186" t="s">
        <v>1097</v>
      </c>
      <c r="E186" t="s">
        <v>1098</v>
      </c>
      <c r="F186" t="s">
        <v>1099</v>
      </c>
      <c r="G186" t="s">
        <v>1100</v>
      </c>
      <c r="H186" t="s">
        <v>1101</v>
      </c>
      <c r="I186">
        <v>259</v>
      </c>
      <c r="J186" t="s">
        <v>1102</v>
      </c>
      <c r="K186">
        <v>806</v>
      </c>
      <c r="N186">
        <v>126</v>
      </c>
      <c r="O186">
        <v>374517</v>
      </c>
      <c r="P186">
        <v>125</v>
      </c>
      <c r="Q186" t="s">
        <v>25</v>
      </c>
    </row>
    <row r="187" spans="1:17">
      <c r="A187" t="s">
        <v>608</v>
      </c>
      <c r="B187">
        <v>86</v>
      </c>
      <c r="C187" t="s">
        <v>18</v>
      </c>
      <c r="D187" t="s">
        <v>1103</v>
      </c>
      <c r="E187" t="s">
        <v>1019</v>
      </c>
      <c r="F187" t="s">
        <v>1104</v>
      </c>
      <c r="G187" t="s">
        <v>1105</v>
      </c>
      <c r="H187" t="s">
        <v>1106</v>
      </c>
      <c r="I187">
        <v>314</v>
      </c>
      <c r="J187" t="s">
        <v>1107</v>
      </c>
      <c r="K187">
        <v>2559</v>
      </c>
      <c r="L187">
        <v>28</v>
      </c>
      <c r="M187">
        <v>28</v>
      </c>
      <c r="N187">
        <v>96</v>
      </c>
      <c r="O187">
        <v>239378</v>
      </c>
      <c r="P187">
        <v>111</v>
      </c>
      <c r="Q187" t="s">
        <v>25</v>
      </c>
    </row>
    <row r="188" spans="1:17">
      <c r="A188" t="s">
        <v>608</v>
      </c>
      <c r="B188">
        <v>87</v>
      </c>
      <c r="C188" t="s">
        <v>18</v>
      </c>
      <c r="D188" t="s">
        <v>1108</v>
      </c>
      <c r="E188" t="s">
        <v>1109</v>
      </c>
      <c r="F188" t="s">
        <v>1110</v>
      </c>
      <c r="G188" t="s">
        <v>1111</v>
      </c>
      <c r="H188" t="s">
        <v>1112</v>
      </c>
      <c r="I188">
        <v>624</v>
      </c>
      <c r="J188" t="s">
        <v>1113</v>
      </c>
      <c r="K188">
        <v>2511</v>
      </c>
      <c r="L188">
        <v>9</v>
      </c>
      <c r="M188">
        <v>9</v>
      </c>
      <c r="N188">
        <v>81</v>
      </c>
      <c r="O188">
        <v>209322</v>
      </c>
      <c r="P188">
        <v>83</v>
      </c>
      <c r="Q188" t="s">
        <v>25</v>
      </c>
    </row>
    <row r="189" spans="1:17">
      <c r="A189" t="s">
        <v>608</v>
      </c>
      <c r="B189">
        <v>88</v>
      </c>
      <c r="C189" t="s">
        <v>18</v>
      </c>
      <c r="D189" t="s">
        <v>1114</v>
      </c>
      <c r="E189" t="s">
        <v>1115</v>
      </c>
      <c r="F189" t="s">
        <v>1116</v>
      </c>
      <c r="G189" t="s">
        <v>1117</v>
      </c>
      <c r="H189" t="s">
        <v>1118</v>
      </c>
      <c r="I189">
        <v>286</v>
      </c>
      <c r="J189" t="s">
        <v>1119</v>
      </c>
      <c r="K189">
        <v>568</v>
      </c>
      <c r="L189">
        <v>23</v>
      </c>
      <c r="M189">
        <v>23</v>
      </c>
      <c r="N189">
        <v>56</v>
      </c>
      <c r="O189">
        <v>59874</v>
      </c>
      <c r="P189">
        <v>52</v>
      </c>
      <c r="Q189" t="s">
        <v>25</v>
      </c>
    </row>
    <row r="190" spans="1:17">
      <c r="A190" t="s">
        <v>608</v>
      </c>
      <c r="B190">
        <v>89</v>
      </c>
      <c r="C190" t="s">
        <v>18</v>
      </c>
      <c r="D190" t="s">
        <v>1120</v>
      </c>
      <c r="E190" t="s">
        <v>628</v>
      </c>
      <c r="F190" t="s">
        <v>1121</v>
      </c>
      <c r="G190" t="s">
        <v>1122</v>
      </c>
      <c r="H190" t="s">
        <v>1123</v>
      </c>
      <c r="I190">
        <v>189</v>
      </c>
      <c r="J190" t="s">
        <v>1124</v>
      </c>
      <c r="K190">
        <v>2481</v>
      </c>
      <c r="L190">
        <v>9</v>
      </c>
      <c r="M190">
        <v>9</v>
      </c>
      <c r="N190">
        <v>147</v>
      </c>
      <c r="O190">
        <v>300568</v>
      </c>
      <c r="P190">
        <v>116</v>
      </c>
      <c r="Q190" t="s">
        <v>25</v>
      </c>
    </row>
    <row r="191" spans="1:17">
      <c r="A191" t="s">
        <v>608</v>
      </c>
      <c r="B191">
        <v>90</v>
      </c>
      <c r="C191" t="s">
        <v>18</v>
      </c>
      <c r="D191" t="s">
        <v>1125</v>
      </c>
      <c r="E191" t="s">
        <v>1126</v>
      </c>
      <c r="F191" t="s">
        <v>1127</v>
      </c>
      <c r="G191" t="s">
        <v>1128</v>
      </c>
      <c r="H191" t="s">
        <v>1129</v>
      </c>
      <c r="I191">
        <v>446</v>
      </c>
      <c r="J191" t="s">
        <v>1130</v>
      </c>
      <c r="K191">
        <v>1553</v>
      </c>
      <c r="L191">
        <v>19</v>
      </c>
      <c r="M191">
        <v>19</v>
      </c>
      <c r="N191">
        <v>62</v>
      </c>
      <c r="O191">
        <v>227922</v>
      </c>
      <c r="P191">
        <v>82</v>
      </c>
      <c r="Q191" t="s">
        <v>25</v>
      </c>
    </row>
    <row r="192" spans="1:17">
      <c r="A192" t="s">
        <v>608</v>
      </c>
      <c r="B192">
        <v>91</v>
      </c>
      <c r="C192" t="s">
        <v>18</v>
      </c>
      <c r="D192" t="s">
        <v>1131</v>
      </c>
      <c r="E192" t="s">
        <v>1081</v>
      </c>
      <c r="F192" t="s">
        <v>1132</v>
      </c>
      <c r="G192" t="s">
        <v>1133</v>
      </c>
      <c r="H192" t="s">
        <v>1134</v>
      </c>
      <c r="I192">
        <v>328</v>
      </c>
      <c r="J192" t="s">
        <v>1135</v>
      </c>
      <c r="K192">
        <v>18830</v>
      </c>
      <c r="L192">
        <v>12</v>
      </c>
      <c r="M192">
        <v>12</v>
      </c>
      <c r="N192">
        <v>176</v>
      </c>
      <c r="O192">
        <v>583052</v>
      </c>
      <c r="P192">
        <v>175</v>
      </c>
      <c r="Q192" t="s">
        <v>25</v>
      </c>
    </row>
    <row r="193" spans="1:17">
      <c r="A193" t="s">
        <v>608</v>
      </c>
      <c r="B193">
        <v>92</v>
      </c>
      <c r="C193" t="s">
        <v>18</v>
      </c>
      <c r="D193" t="s">
        <v>1136</v>
      </c>
      <c r="E193" t="s">
        <v>1137</v>
      </c>
      <c r="F193" t="s">
        <v>1138</v>
      </c>
      <c r="G193" t="s">
        <v>1139</v>
      </c>
      <c r="H193" t="s">
        <v>1140</v>
      </c>
      <c r="I193">
        <v>101</v>
      </c>
      <c r="J193" t="s">
        <v>1141</v>
      </c>
      <c r="K193">
        <v>28194</v>
      </c>
      <c r="L193">
        <v>12</v>
      </c>
      <c r="M193">
        <v>12</v>
      </c>
      <c r="N193">
        <v>204</v>
      </c>
      <c r="O193">
        <v>808055</v>
      </c>
      <c r="P193">
        <v>209</v>
      </c>
      <c r="Q193" t="s">
        <v>44</v>
      </c>
    </row>
    <row r="194" spans="1:17">
      <c r="A194" t="s">
        <v>608</v>
      </c>
      <c r="B194">
        <v>93</v>
      </c>
      <c r="C194" t="s">
        <v>18</v>
      </c>
      <c r="D194" t="s">
        <v>1142</v>
      </c>
      <c r="E194" t="s">
        <v>1143</v>
      </c>
      <c r="F194" t="s">
        <v>1144</v>
      </c>
      <c r="G194" t="s">
        <v>1145</v>
      </c>
      <c r="H194" t="s">
        <v>1146</v>
      </c>
      <c r="I194">
        <v>418</v>
      </c>
      <c r="J194" t="s">
        <v>1147</v>
      </c>
      <c r="K194">
        <v>282</v>
      </c>
      <c r="L194">
        <v>6</v>
      </c>
      <c r="M194">
        <v>6</v>
      </c>
      <c r="N194">
        <v>20</v>
      </c>
      <c r="O194">
        <v>78988</v>
      </c>
      <c r="P194">
        <v>17</v>
      </c>
      <c r="Q194" t="s">
        <v>25</v>
      </c>
    </row>
    <row r="195" spans="1:17">
      <c r="A195" t="s">
        <v>608</v>
      </c>
      <c r="B195">
        <v>94</v>
      </c>
      <c r="C195" t="s">
        <v>18</v>
      </c>
      <c r="D195" t="s">
        <v>1148</v>
      </c>
      <c r="E195" t="s">
        <v>1149</v>
      </c>
      <c r="F195" t="s">
        <v>1150</v>
      </c>
      <c r="G195" t="s">
        <v>1151</v>
      </c>
      <c r="H195" t="s">
        <v>1152</v>
      </c>
      <c r="I195">
        <v>166</v>
      </c>
      <c r="J195" t="s">
        <v>1153</v>
      </c>
      <c r="K195">
        <v>617</v>
      </c>
      <c r="L195">
        <v>23</v>
      </c>
      <c r="M195">
        <v>23</v>
      </c>
      <c r="N195">
        <v>31</v>
      </c>
      <c r="O195">
        <v>79475</v>
      </c>
      <c r="P195">
        <v>27</v>
      </c>
      <c r="Q195" t="s">
        <v>25</v>
      </c>
    </row>
    <row r="196" spans="1:17">
      <c r="A196" t="s">
        <v>608</v>
      </c>
      <c r="B196">
        <v>95</v>
      </c>
      <c r="C196" t="s">
        <v>18</v>
      </c>
      <c r="D196" t="s">
        <v>1154</v>
      </c>
      <c r="E196" t="s">
        <v>1155</v>
      </c>
      <c r="F196" t="s">
        <v>1156</v>
      </c>
      <c r="G196" t="s">
        <v>1157</v>
      </c>
      <c r="H196" t="s">
        <v>1158</v>
      </c>
      <c r="I196">
        <v>326</v>
      </c>
      <c r="J196" t="s">
        <v>1159</v>
      </c>
      <c r="K196">
        <v>894</v>
      </c>
      <c r="L196">
        <v>29</v>
      </c>
      <c r="M196">
        <v>29</v>
      </c>
      <c r="N196">
        <v>26</v>
      </c>
      <c r="O196">
        <v>46872</v>
      </c>
      <c r="P196">
        <v>24</v>
      </c>
      <c r="Q196" t="s">
        <v>25</v>
      </c>
    </row>
    <row r="197" spans="1:17">
      <c r="A197" t="s">
        <v>608</v>
      </c>
      <c r="B197">
        <v>96</v>
      </c>
      <c r="C197" t="s">
        <v>18</v>
      </c>
      <c r="D197" t="s">
        <v>1160</v>
      </c>
      <c r="E197" t="s">
        <v>1161</v>
      </c>
      <c r="F197" t="s">
        <v>1162</v>
      </c>
      <c r="G197" t="s">
        <v>1163</v>
      </c>
      <c r="H197" t="s">
        <v>1164</v>
      </c>
      <c r="I197">
        <v>411</v>
      </c>
      <c r="J197" t="s">
        <v>1165</v>
      </c>
      <c r="K197">
        <v>3234</v>
      </c>
      <c r="L197">
        <v>18</v>
      </c>
      <c r="M197">
        <v>18</v>
      </c>
      <c r="N197">
        <v>64</v>
      </c>
      <c r="O197">
        <v>195101</v>
      </c>
      <c r="P197">
        <v>55</v>
      </c>
      <c r="Q197" t="s">
        <v>25</v>
      </c>
    </row>
    <row r="198" spans="1:17">
      <c r="A198" t="s">
        <v>608</v>
      </c>
      <c r="B198">
        <v>97</v>
      </c>
      <c r="C198" t="s">
        <v>474</v>
      </c>
      <c r="D198" t="s">
        <v>1166</v>
      </c>
      <c r="E198" t="s">
        <v>1167</v>
      </c>
      <c r="F198" t="s">
        <v>1168</v>
      </c>
      <c r="G198" t="s">
        <v>1169</v>
      </c>
      <c r="H198" t="s">
        <v>1170</v>
      </c>
      <c r="I198">
        <v>246</v>
      </c>
      <c r="J198" t="s">
        <v>1171</v>
      </c>
      <c r="K198">
        <v>222</v>
      </c>
      <c r="N198">
        <v>12</v>
      </c>
      <c r="O198">
        <v>27606</v>
      </c>
      <c r="P198">
        <v>11</v>
      </c>
      <c r="Q198" t="s">
        <v>25</v>
      </c>
    </row>
    <row r="199" spans="1:17">
      <c r="A199" t="s">
        <v>608</v>
      </c>
      <c r="B199">
        <v>98</v>
      </c>
      <c r="C199" t="s">
        <v>474</v>
      </c>
      <c r="D199" t="s">
        <v>1172</v>
      </c>
      <c r="E199" t="s">
        <v>1173</v>
      </c>
      <c r="F199" t="s">
        <v>1174</v>
      </c>
      <c r="H199" t="s">
        <v>1175</v>
      </c>
      <c r="I199">
        <v>324</v>
      </c>
      <c r="J199" t="s">
        <v>1176</v>
      </c>
      <c r="K199">
        <v>5427</v>
      </c>
      <c r="N199">
        <v>260</v>
      </c>
      <c r="O199">
        <v>981314</v>
      </c>
      <c r="P199">
        <v>416</v>
      </c>
      <c r="Q199" t="s">
        <v>25</v>
      </c>
    </row>
    <row r="200" spans="1:17">
      <c r="A200" t="s">
        <v>608</v>
      </c>
      <c r="B200">
        <v>99</v>
      </c>
      <c r="C200" t="s">
        <v>18</v>
      </c>
      <c r="D200" t="s">
        <v>1177</v>
      </c>
      <c r="E200" t="s">
        <v>1178</v>
      </c>
      <c r="F200" t="s">
        <v>1179</v>
      </c>
      <c r="G200" t="s">
        <v>1180</v>
      </c>
      <c r="H200" t="s">
        <v>1181</v>
      </c>
      <c r="I200">
        <v>173</v>
      </c>
      <c r="J200" t="s">
        <v>1182</v>
      </c>
      <c r="K200">
        <v>140</v>
      </c>
      <c r="L200">
        <v>33</v>
      </c>
      <c r="M200">
        <v>33</v>
      </c>
      <c r="N200">
        <v>12</v>
      </c>
      <c r="O200">
        <v>28282</v>
      </c>
      <c r="P200">
        <v>8</v>
      </c>
      <c r="Q200" t="s">
        <v>25</v>
      </c>
    </row>
    <row r="201" spans="1:17">
      <c r="A201" t="s">
        <v>608</v>
      </c>
      <c r="B201">
        <v>100</v>
      </c>
      <c r="C201" t="s">
        <v>18</v>
      </c>
      <c r="D201" t="s">
        <v>1183</v>
      </c>
      <c r="E201" t="s">
        <v>1184</v>
      </c>
      <c r="F201" t="s">
        <v>1185</v>
      </c>
      <c r="G201" t="s">
        <v>1186</v>
      </c>
      <c r="H201" t="s">
        <v>1187</v>
      </c>
      <c r="I201">
        <v>812</v>
      </c>
      <c r="J201" t="s">
        <v>1188</v>
      </c>
      <c r="K201">
        <v>428</v>
      </c>
      <c r="L201">
        <v>27</v>
      </c>
      <c r="M201">
        <v>27</v>
      </c>
      <c r="N201">
        <v>17</v>
      </c>
      <c r="O201">
        <v>94757</v>
      </c>
      <c r="P201">
        <v>13</v>
      </c>
      <c r="Q201" t="s">
        <v>25</v>
      </c>
    </row>
    <row r="202" spans="1:17">
      <c r="C202" t="s">
        <v>1189</v>
      </c>
      <c r="D202" t="s">
        <v>1190</v>
      </c>
      <c r="E202" t="s">
        <v>1191</v>
      </c>
      <c r="G202" t="s">
        <v>1192</v>
      </c>
      <c r="H202" t="s">
        <v>1193</v>
      </c>
    </row>
    <row r="203" spans="1:17">
      <c r="C203" t="s">
        <v>1189</v>
      </c>
      <c r="D203" t="s">
        <v>1194</v>
      </c>
      <c r="E203" t="s">
        <v>845</v>
      </c>
      <c r="G203" t="s">
        <v>1195</v>
      </c>
      <c r="H203" t="s">
        <v>1196</v>
      </c>
    </row>
    <row r="204" spans="1:17">
      <c r="C204" t="s">
        <v>1189</v>
      </c>
      <c r="D204" t="s">
        <v>1197</v>
      </c>
      <c r="E204" t="s">
        <v>1198</v>
      </c>
      <c r="G204" t="s">
        <v>1199</v>
      </c>
      <c r="H204" t="s">
        <v>1200</v>
      </c>
    </row>
    <row r="205" spans="1:17">
      <c r="C205" t="s">
        <v>1189</v>
      </c>
      <c r="D205" t="s">
        <v>1201</v>
      </c>
      <c r="E205" t="s">
        <v>1202</v>
      </c>
      <c r="G205" t="s">
        <v>1203</v>
      </c>
      <c r="H205" t="s">
        <v>1204</v>
      </c>
    </row>
    <row r="206" spans="1:17">
      <c r="C206" t="s">
        <v>1189</v>
      </c>
      <c r="D206" t="s">
        <v>1205</v>
      </c>
      <c r="E206" t="s">
        <v>428</v>
      </c>
      <c r="G206" t="s">
        <v>1206</v>
      </c>
      <c r="H206" t="s">
        <v>1207</v>
      </c>
    </row>
    <row r="207" spans="1:17">
      <c r="C207" t="s">
        <v>1189</v>
      </c>
      <c r="D207" t="s">
        <v>1208</v>
      </c>
      <c r="E207" t="s">
        <v>716</v>
      </c>
      <c r="G207" t="s">
        <v>1209</v>
      </c>
      <c r="H207" t="s">
        <v>1210</v>
      </c>
    </row>
  </sheetData>
  <phoneticPr fontId="1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0"/>
  <sheetViews>
    <sheetView workbookViewId="0"/>
  </sheetViews>
  <sheetFormatPr defaultRowHeight="13.2"/>
  <sheetData>
    <row r="1" spans="1:13">
      <c r="A1" s="1" t="s">
        <v>0</v>
      </c>
      <c r="B1" s="1" t="s">
        <v>1</v>
      </c>
      <c r="C1" s="1" t="s">
        <v>1211</v>
      </c>
      <c r="D1" s="1" t="s">
        <v>1212</v>
      </c>
      <c r="E1" s="1" t="s">
        <v>3</v>
      </c>
      <c r="F1" s="1" t="s">
        <v>6</v>
      </c>
      <c r="G1" s="1" t="s">
        <v>1213</v>
      </c>
      <c r="H1" s="1" t="s">
        <v>4</v>
      </c>
      <c r="I1" s="1" t="s">
        <v>10</v>
      </c>
      <c r="J1" s="1" t="s">
        <v>11</v>
      </c>
      <c r="K1" s="1" t="s">
        <v>12</v>
      </c>
      <c r="L1" s="1" t="s">
        <v>1214</v>
      </c>
      <c r="M1" s="1" t="s">
        <v>15</v>
      </c>
    </row>
    <row r="2" spans="1:13">
      <c r="A2" t="s">
        <v>17</v>
      </c>
      <c r="B2">
        <v>30</v>
      </c>
      <c r="C2">
        <v>50</v>
      </c>
      <c r="D2">
        <v>20</v>
      </c>
      <c r="E2" t="s">
        <v>193</v>
      </c>
      <c r="F2" t="s">
        <v>195</v>
      </c>
      <c r="G2" t="s">
        <v>196</v>
      </c>
      <c r="H2" t="s">
        <v>141</v>
      </c>
      <c r="I2">
        <v>144</v>
      </c>
      <c r="J2">
        <v>23</v>
      </c>
      <c r="K2">
        <v>23</v>
      </c>
      <c r="L2">
        <v>1</v>
      </c>
      <c r="M2">
        <v>5</v>
      </c>
    </row>
    <row r="3" spans="1:13">
      <c r="A3" t="s">
        <v>17</v>
      </c>
      <c r="B3">
        <v>70</v>
      </c>
      <c r="C3">
        <v>89</v>
      </c>
      <c r="D3">
        <v>19</v>
      </c>
      <c r="E3" t="s">
        <v>427</v>
      </c>
      <c r="F3" t="s">
        <v>430</v>
      </c>
      <c r="G3" t="s">
        <v>431</v>
      </c>
      <c r="H3" t="s">
        <v>428</v>
      </c>
      <c r="I3">
        <v>85</v>
      </c>
      <c r="J3">
        <v>24</v>
      </c>
      <c r="K3">
        <v>24</v>
      </c>
      <c r="L3">
        <v>1</v>
      </c>
      <c r="M3">
        <v>5</v>
      </c>
    </row>
    <row r="4" spans="1:13">
      <c r="A4" t="s">
        <v>17</v>
      </c>
      <c r="B4">
        <v>80</v>
      </c>
      <c r="C4">
        <v>99</v>
      </c>
      <c r="D4">
        <v>19</v>
      </c>
      <c r="E4" t="s">
        <v>486</v>
      </c>
      <c r="F4" t="s">
        <v>488</v>
      </c>
      <c r="G4" t="s">
        <v>489</v>
      </c>
      <c r="H4" t="s">
        <v>117</v>
      </c>
      <c r="I4">
        <v>80</v>
      </c>
      <c r="J4">
        <v>4</v>
      </c>
      <c r="K4">
        <v>4</v>
      </c>
      <c r="L4">
        <v>1</v>
      </c>
      <c r="M4">
        <v>5</v>
      </c>
    </row>
    <row r="5" spans="1:13">
      <c r="A5" t="s">
        <v>17</v>
      </c>
      <c r="B5">
        <v>74</v>
      </c>
      <c r="C5">
        <v>87</v>
      </c>
      <c r="D5">
        <v>13</v>
      </c>
      <c r="E5" t="s">
        <v>450</v>
      </c>
      <c r="F5" t="s">
        <v>453</v>
      </c>
      <c r="G5" t="s">
        <v>454</v>
      </c>
      <c r="H5" t="s">
        <v>451</v>
      </c>
      <c r="I5">
        <v>116</v>
      </c>
      <c r="J5">
        <v>18</v>
      </c>
      <c r="K5">
        <v>18</v>
      </c>
      <c r="L5">
        <v>1</v>
      </c>
      <c r="M5">
        <v>7</v>
      </c>
    </row>
    <row r="6" spans="1:13">
      <c r="A6" t="s">
        <v>608</v>
      </c>
      <c r="B6">
        <v>76</v>
      </c>
      <c r="C6">
        <v>89</v>
      </c>
      <c r="D6">
        <v>13</v>
      </c>
      <c r="E6" t="s">
        <v>1047</v>
      </c>
      <c r="F6" t="s">
        <v>1050</v>
      </c>
      <c r="H6" t="s">
        <v>1048</v>
      </c>
      <c r="I6">
        <v>111</v>
      </c>
      <c r="J6">
        <v>17</v>
      </c>
      <c r="K6">
        <v>17</v>
      </c>
      <c r="L6">
        <v>0</v>
      </c>
      <c r="M6">
        <v>5</v>
      </c>
    </row>
    <row r="7" spans="1:13">
      <c r="A7" t="s">
        <v>17</v>
      </c>
      <c r="B7">
        <v>42</v>
      </c>
      <c r="C7">
        <v>54</v>
      </c>
      <c r="D7">
        <v>12</v>
      </c>
      <c r="E7" t="s">
        <v>263</v>
      </c>
      <c r="F7" t="s">
        <v>266</v>
      </c>
      <c r="G7" t="s">
        <v>267</v>
      </c>
      <c r="H7" t="s">
        <v>264</v>
      </c>
      <c r="I7">
        <v>1222</v>
      </c>
      <c r="J7">
        <v>19</v>
      </c>
      <c r="K7">
        <v>19</v>
      </c>
      <c r="L7">
        <v>2</v>
      </c>
      <c r="M7">
        <v>77</v>
      </c>
    </row>
    <row r="8" spans="1:13">
      <c r="A8" t="s">
        <v>17</v>
      </c>
      <c r="B8">
        <v>88</v>
      </c>
      <c r="C8">
        <v>100</v>
      </c>
      <c r="D8">
        <v>12</v>
      </c>
      <c r="E8" t="s">
        <v>532</v>
      </c>
      <c r="F8" t="s">
        <v>535</v>
      </c>
      <c r="G8" t="s">
        <v>536</v>
      </c>
      <c r="H8" t="s">
        <v>533</v>
      </c>
      <c r="I8">
        <v>2327</v>
      </c>
      <c r="J8">
        <v>15</v>
      </c>
      <c r="K8">
        <v>15</v>
      </c>
      <c r="L8">
        <v>0</v>
      </c>
      <c r="M8">
        <v>78</v>
      </c>
    </row>
    <row r="9" spans="1:13">
      <c r="A9" t="s">
        <v>17</v>
      </c>
      <c r="B9">
        <v>79</v>
      </c>
      <c r="C9">
        <v>90</v>
      </c>
      <c r="D9">
        <v>11</v>
      </c>
      <c r="E9" t="s">
        <v>480</v>
      </c>
      <c r="F9" t="s">
        <v>483</v>
      </c>
      <c r="G9" t="s">
        <v>484</v>
      </c>
      <c r="H9" t="s">
        <v>481</v>
      </c>
      <c r="I9">
        <v>206</v>
      </c>
      <c r="J9">
        <v>11</v>
      </c>
      <c r="K9">
        <v>11</v>
      </c>
      <c r="L9">
        <v>1</v>
      </c>
      <c r="M9">
        <v>41</v>
      </c>
    </row>
    <row r="10" spans="1:13">
      <c r="A10" t="s">
        <v>17</v>
      </c>
      <c r="B10">
        <v>56</v>
      </c>
      <c r="C10">
        <v>66</v>
      </c>
      <c r="D10">
        <v>10</v>
      </c>
      <c r="E10" t="s">
        <v>346</v>
      </c>
      <c r="F10" t="s">
        <v>349</v>
      </c>
      <c r="G10" t="s">
        <v>350</v>
      </c>
      <c r="H10" t="s">
        <v>347</v>
      </c>
      <c r="I10">
        <v>86</v>
      </c>
      <c r="J10">
        <v>9</v>
      </c>
      <c r="K10">
        <v>9</v>
      </c>
      <c r="L10">
        <v>2</v>
      </c>
      <c r="M10">
        <v>6</v>
      </c>
    </row>
    <row r="11" spans="1:13">
      <c r="A11" t="s">
        <v>608</v>
      </c>
      <c r="B11">
        <v>64</v>
      </c>
      <c r="C11">
        <v>73</v>
      </c>
      <c r="D11">
        <v>9</v>
      </c>
      <c r="E11" t="s">
        <v>977</v>
      </c>
      <c r="F11" t="s">
        <v>980</v>
      </c>
      <c r="G11" t="s">
        <v>981</v>
      </c>
      <c r="H11" t="s">
        <v>978</v>
      </c>
      <c r="I11">
        <v>711</v>
      </c>
      <c r="J11">
        <v>53</v>
      </c>
      <c r="K11">
        <v>53</v>
      </c>
      <c r="L11">
        <v>1</v>
      </c>
      <c r="M11">
        <v>28</v>
      </c>
    </row>
    <row r="12" spans="1:13">
      <c r="A12" t="s">
        <v>608</v>
      </c>
      <c r="B12">
        <v>65</v>
      </c>
      <c r="C12">
        <v>74</v>
      </c>
      <c r="D12">
        <v>9</v>
      </c>
      <c r="E12" t="s">
        <v>983</v>
      </c>
      <c r="F12" t="s">
        <v>986</v>
      </c>
      <c r="G12" t="s">
        <v>987</v>
      </c>
      <c r="H12" t="s">
        <v>984</v>
      </c>
      <c r="I12">
        <v>622</v>
      </c>
      <c r="J12">
        <v>38</v>
      </c>
      <c r="K12">
        <v>38</v>
      </c>
      <c r="L12">
        <v>0</v>
      </c>
      <c r="M12">
        <v>26</v>
      </c>
    </row>
    <row r="13" spans="1:13">
      <c r="A13" t="s">
        <v>17</v>
      </c>
      <c r="B13">
        <v>39</v>
      </c>
      <c r="C13">
        <v>48</v>
      </c>
      <c r="D13">
        <v>9</v>
      </c>
      <c r="E13" t="s">
        <v>245</v>
      </c>
      <c r="F13" t="s">
        <v>248</v>
      </c>
      <c r="G13" t="s">
        <v>249</v>
      </c>
      <c r="H13" t="s">
        <v>246</v>
      </c>
      <c r="I13">
        <v>2940</v>
      </c>
      <c r="J13">
        <v>13</v>
      </c>
      <c r="K13">
        <v>13</v>
      </c>
      <c r="L13">
        <v>0</v>
      </c>
      <c r="M13">
        <v>53</v>
      </c>
    </row>
    <row r="14" spans="1:13">
      <c r="A14" t="s">
        <v>17</v>
      </c>
      <c r="B14">
        <v>34</v>
      </c>
      <c r="C14">
        <v>42</v>
      </c>
      <c r="D14">
        <v>8</v>
      </c>
      <c r="E14" t="s">
        <v>216</v>
      </c>
      <c r="F14" t="s">
        <v>219</v>
      </c>
      <c r="G14" t="s">
        <v>220</v>
      </c>
      <c r="H14" t="s">
        <v>217</v>
      </c>
      <c r="I14">
        <v>220</v>
      </c>
      <c r="J14">
        <v>32</v>
      </c>
      <c r="K14">
        <v>32</v>
      </c>
      <c r="L14">
        <v>1</v>
      </c>
      <c r="M14">
        <v>13</v>
      </c>
    </row>
    <row r="15" spans="1:13">
      <c r="A15" t="s">
        <v>608</v>
      </c>
      <c r="B15">
        <v>43</v>
      </c>
      <c r="C15">
        <v>51</v>
      </c>
      <c r="D15">
        <v>8</v>
      </c>
      <c r="E15" t="s">
        <v>856</v>
      </c>
      <c r="F15" t="s">
        <v>859</v>
      </c>
      <c r="G15" t="s">
        <v>860</v>
      </c>
      <c r="H15" t="s">
        <v>857</v>
      </c>
      <c r="I15">
        <v>675</v>
      </c>
      <c r="J15">
        <v>55</v>
      </c>
      <c r="K15">
        <v>55</v>
      </c>
      <c r="L15">
        <v>1</v>
      </c>
      <c r="M15">
        <v>15</v>
      </c>
    </row>
    <row r="16" spans="1:13">
      <c r="A16" t="s">
        <v>608</v>
      </c>
      <c r="B16">
        <v>84</v>
      </c>
      <c r="C16">
        <v>92</v>
      </c>
      <c r="D16">
        <v>8</v>
      </c>
      <c r="E16" t="s">
        <v>1091</v>
      </c>
      <c r="F16" t="s">
        <v>1094</v>
      </c>
      <c r="G16" t="s">
        <v>1095</v>
      </c>
      <c r="H16" t="s">
        <v>1092</v>
      </c>
      <c r="I16">
        <v>177</v>
      </c>
      <c r="J16">
        <v>10</v>
      </c>
      <c r="K16">
        <v>10</v>
      </c>
      <c r="L16">
        <v>0</v>
      </c>
      <c r="M16">
        <v>4</v>
      </c>
    </row>
    <row r="17" spans="1:13">
      <c r="A17" t="s">
        <v>608</v>
      </c>
      <c r="B17">
        <v>55</v>
      </c>
      <c r="C17">
        <v>62</v>
      </c>
      <c r="D17">
        <v>7</v>
      </c>
      <c r="E17" t="s">
        <v>926</v>
      </c>
      <c r="F17" t="s">
        <v>929</v>
      </c>
      <c r="G17" t="s">
        <v>930</v>
      </c>
      <c r="H17" t="s">
        <v>927</v>
      </c>
      <c r="I17">
        <v>519</v>
      </c>
      <c r="J17">
        <v>12</v>
      </c>
      <c r="K17">
        <v>12</v>
      </c>
      <c r="L17">
        <v>1</v>
      </c>
      <c r="M17">
        <v>26</v>
      </c>
    </row>
    <row r="18" spans="1:13">
      <c r="A18" t="s">
        <v>608</v>
      </c>
      <c r="B18">
        <v>88</v>
      </c>
      <c r="C18">
        <v>95</v>
      </c>
      <c r="D18">
        <v>7</v>
      </c>
      <c r="E18" t="s">
        <v>1114</v>
      </c>
      <c r="F18" t="s">
        <v>1117</v>
      </c>
      <c r="G18" t="s">
        <v>1118</v>
      </c>
      <c r="H18" t="s">
        <v>1115</v>
      </c>
      <c r="I18">
        <v>568</v>
      </c>
      <c r="J18">
        <v>23</v>
      </c>
      <c r="K18">
        <v>23</v>
      </c>
      <c r="L18">
        <v>0</v>
      </c>
      <c r="M18">
        <v>52</v>
      </c>
    </row>
    <row r="19" spans="1:13">
      <c r="A19" t="s">
        <v>608</v>
      </c>
      <c r="B19">
        <v>57</v>
      </c>
      <c r="C19">
        <v>64</v>
      </c>
      <c r="D19">
        <v>7</v>
      </c>
      <c r="E19" t="s">
        <v>938</v>
      </c>
      <c r="F19" t="s">
        <v>941</v>
      </c>
      <c r="G19" t="s">
        <v>942</v>
      </c>
      <c r="H19" t="s">
        <v>939</v>
      </c>
      <c r="I19">
        <v>530</v>
      </c>
      <c r="J19">
        <v>31</v>
      </c>
      <c r="K19">
        <v>31</v>
      </c>
      <c r="L19">
        <v>0</v>
      </c>
      <c r="M19">
        <v>12</v>
      </c>
    </row>
    <row r="20" spans="1:13">
      <c r="A20" t="s">
        <v>608</v>
      </c>
      <c r="B20">
        <v>72</v>
      </c>
      <c r="C20">
        <v>78</v>
      </c>
      <c r="D20">
        <v>6</v>
      </c>
      <c r="E20" t="s">
        <v>1024</v>
      </c>
      <c r="F20" t="s">
        <v>1027</v>
      </c>
      <c r="G20" t="s">
        <v>1028</v>
      </c>
      <c r="H20" t="s">
        <v>1025</v>
      </c>
      <c r="I20">
        <v>136</v>
      </c>
      <c r="J20">
        <v>13</v>
      </c>
      <c r="K20">
        <v>13</v>
      </c>
      <c r="L20">
        <v>1</v>
      </c>
      <c r="M20">
        <v>51</v>
      </c>
    </row>
    <row r="21" spans="1:13">
      <c r="A21" t="s">
        <v>608</v>
      </c>
      <c r="B21">
        <v>61</v>
      </c>
      <c r="C21">
        <v>67</v>
      </c>
      <c r="D21">
        <v>6</v>
      </c>
      <c r="E21" t="s">
        <v>960</v>
      </c>
      <c r="F21" t="s">
        <v>962</v>
      </c>
      <c r="G21" t="s">
        <v>963</v>
      </c>
      <c r="H21" t="s">
        <v>716</v>
      </c>
      <c r="I21">
        <v>308</v>
      </c>
      <c r="J21">
        <v>28</v>
      </c>
      <c r="K21">
        <v>28</v>
      </c>
      <c r="L21">
        <v>1</v>
      </c>
      <c r="M21">
        <v>14</v>
      </c>
    </row>
    <row r="22" spans="1:13">
      <c r="A22" t="s">
        <v>608</v>
      </c>
      <c r="B22">
        <v>27</v>
      </c>
      <c r="C22">
        <v>33</v>
      </c>
      <c r="D22">
        <v>6</v>
      </c>
      <c r="E22" t="s">
        <v>762</v>
      </c>
      <c r="F22" t="s">
        <v>765</v>
      </c>
      <c r="G22" t="s">
        <v>766</v>
      </c>
      <c r="H22" t="s">
        <v>763</v>
      </c>
      <c r="I22">
        <v>4671</v>
      </c>
      <c r="J22">
        <v>51</v>
      </c>
      <c r="K22">
        <v>51</v>
      </c>
      <c r="L22">
        <v>0</v>
      </c>
      <c r="M22">
        <v>31</v>
      </c>
    </row>
    <row r="23" spans="1:13">
      <c r="A23" t="s">
        <v>17</v>
      </c>
      <c r="B23">
        <v>17</v>
      </c>
      <c r="C23">
        <v>23</v>
      </c>
      <c r="D23">
        <v>6</v>
      </c>
      <c r="E23" t="s">
        <v>116</v>
      </c>
      <c r="F23" t="s">
        <v>119</v>
      </c>
      <c r="G23" t="s">
        <v>120</v>
      </c>
      <c r="H23" t="s">
        <v>117</v>
      </c>
      <c r="I23">
        <v>272</v>
      </c>
      <c r="J23">
        <v>103</v>
      </c>
      <c r="K23">
        <v>103</v>
      </c>
      <c r="L23">
        <v>1</v>
      </c>
      <c r="M23">
        <v>7</v>
      </c>
    </row>
    <row r="24" spans="1:13">
      <c r="A24" t="s">
        <v>17</v>
      </c>
      <c r="B24">
        <v>65</v>
      </c>
      <c r="C24">
        <v>71</v>
      </c>
      <c r="D24">
        <v>6</v>
      </c>
      <c r="E24" t="s">
        <v>398</v>
      </c>
      <c r="F24" t="s">
        <v>401</v>
      </c>
      <c r="G24" t="s">
        <v>402</v>
      </c>
      <c r="H24" t="s">
        <v>399</v>
      </c>
      <c r="I24">
        <v>500</v>
      </c>
      <c r="J24">
        <v>4</v>
      </c>
      <c r="K24">
        <v>4</v>
      </c>
      <c r="L24">
        <v>2</v>
      </c>
      <c r="M24">
        <v>39</v>
      </c>
    </row>
    <row r="25" spans="1:13">
      <c r="A25" t="s">
        <v>17</v>
      </c>
      <c r="B25">
        <v>22</v>
      </c>
      <c r="C25">
        <v>27</v>
      </c>
      <c r="D25">
        <v>5</v>
      </c>
      <c r="E25" t="s">
        <v>146</v>
      </c>
      <c r="F25" t="s">
        <v>149</v>
      </c>
      <c r="G25" t="s">
        <v>150</v>
      </c>
      <c r="H25" t="s">
        <v>147</v>
      </c>
      <c r="I25">
        <v>241</v>
      </c>
      <c r="J25">
        <v>48</v>
      </c>
      <c r="K25">
        <v>48</v>
      </c>
      <c r="L25">
        <v>1</v>
      </c>
      <c r="M25">
        <v>8</v>
      </c>
    </row>
    <row r="26" spans="1:13">
      <c r="A26" t="s">
        <v>608</v>
      </c>
      <c r="B26">
        <v>80</v>
      </c>
      <c r="C26">
        <v>85</v>
      </c>
      <c r="D26">
        <v>5</v>
      </c>
      <c r="E26" t="s">
        <v>1068</v>
      </c>
      <c r="F26" t="s">
        <v>1071</v>
      </c>
      <c r="G26" t="s">
        <v>1072</v>
      </c>
      <c r="H26" t="s">
        <v>1069</v>
      </c>
      <c r="I26">
        <v>1221</v>
      </c>
      <c r="J26">
        <v>31</v>
      </c>
      <c r="K26">
        <v>31</v>
      </c>
      <c r="L26">
        <v>1</v>
      </c>
      <c r="M26">
        <v>175</v>
      </c>
    </row>
    <row r="27" spans="1:13">
      <c r="A27" t="s">
        <v>17</v>
      </c>
      <c r="B27">
        <v>27</v>
      </c>
      <c r="C27">
        <v>32</v>
      </c>
      <c r="D27">
        <v>5</v>
      </c>
      <c r="E27" t="s">
        <v>176</v>
      </c>
      <c r="F27" t="s">
        <v>178</v>
      </c>
      <c r="G27" t="s">
        <v>179</v>
      </c>
      <c r="H27" t="s">
        <v>20</v>
      </c>
      <c r="I27">
        <v>13296</v>
      </c>
      <c r="J27">
        <v>122</v>
      </c>
      <c r="K27">
        <v>122</v>
      </c>
      <c r="L27">
        <v>0</v>
      </c>
      <c r="M27">
        <v>73</v>
      </c>
    </row>
    <row r="28" spans="1:13">
      <c r="A28" t="s">
        <v>17</v>
      </c>
      <c r="B28">
        <v>50</v>
      </c>
      <c r="C28">
        <v>55</v>
      </c>
      <c r="D28">
        <v>5</v>
      </c>
      <c r="E28" t="s">
        <v>310</v>
      </c>
      <c r="F28" t="s">
        <v>313</v>
      </c>
      <c r="G28" t="s">
        <v>314</v>
      </c>
      <c r="H28" t="s">
        <v>311</v>
      </c>
      <c r="I28">
        <v>387</v>
      </c>
      <c r="J28">
        <v>31</v>
      </c>
      <c r="K28">
        <v>31</v>
      </c>
      <c r="L28">
        <v>1</v>
      </c>
      <c r="M28">
        <v>27</v>
      </c>
    </row>
    <row r="29" spans="1:13">
      <c r="A29" t="s">
        <v>608</v>
      </c>
      <c r="B29">
        <v>50</v>
      </c>
      <c r="C29">
        <v>54</v>
      </c>
      <c r="D29">
        <v>4</v>
      </c>
      <c r="E29" t="s">
        <v>896</v>
      </c>
      <c r="F29" t="s">
        <v>899</v>
      </c>
      <c r="G29" t="s">
        <v>900</v>
      </c>
      <c r="H29" t="s">
        <v>897</v>
      </c>
      <c r="I29">
        <v>627</v>
      </c>
      <c r="J29">
        <v>21</v>
      </c>
      <c r="K29">
        <v>21</v>
      </c>
      <c r="L29">
        <v>1</v>
      </c>
      <c r="M29">
        <v>31</v>
      </c>
    </row>
    <row r="30" spans="1:13">
      <c r="A30" t="s">
        <v>608</v>
      </c>
      <c r="B30">
        <v>86</v>
      </c>
      <c r="C30">
        <v>90</v>
      </c>
      <c r="D30">
        <v>4</v>
      </c>
      <c r="E30" t="s">
        <v>1103</v>
      </c>
      <c r="F30" t="s">
        <v>1105</v>
      </c>
      <c r="G30" t="s">
        <v>1106</v>
      </c>
      <c r="H30" t="s">
        <v>1019</v>
      </c>
      <c r="I30">
        <v>2559</v>
      </c>
      <c r="J30">
        <v>28</v>
      </c>
      <c r="K30">
        <v>28</v>
      </c>
      <c r="L30">
        <v>1</v>
      </c>
      <c r="M30">
        <v>111</v>
      </c>
    </row>
    <row r="31" spans="1:13">
      <c r="A31" t="s">
        <v>608</v>
      </c>
      <c r="B31">
        <v>53</v>
      </c>
      <c r="C31">
        <v>57</v>
      </c>
      <c r="D31">
        <v>4</v>
      </c>
      <c r="E31" t="s">
        <v>914</v>
      </c>
      <c r="F31" t="s">
        <v>917</v>
      </c>
      <c r="G31" t="s">
        <v>918</v>
      </c>
      <c r="H31" t="s">
        <v>915</v>
      </c>
      <c r="I31">
        <v>497</v>
      </c>
      <c r="J31">
        <v>29</v>
      </c>
      <c r="K31">
        <v>29</v>
      </c>
      <c r="L31">
        <v>1</v>
      </c>
      <c r="M31">
        <v>22</v>
      </c>
    </row>
    <row r="32" spans="1:13">
      <c r="A32" t="s">
        <v>608</v>
      </c>
      <c r="B32">
        <v>41</v>
      </c>
      <c r="C32">
        <v>45</v>
      </c>
      <c r="D32">
        <v>4</v>
      </c>
      <c r="E32" t="s">
        <v>844</v>
      </c>
      <c r="F32" t="s">
        <v>847</v>
      </c>
      <c r="G32" t="s">
        <v>848</v>
      </c>
      <c r="H32" t="s">
        <v>845</v>
      </c>
      <c r="I32">
        <v>250</v>
      </c>
      <c r="J32">
        <v>39</v>
      </c>
      <c r="K32">
        <v>39</v>
      </c>
      <c r="L32">
        <v>2</v>
      </c>
      <c r="M32">
        <v>5</v>
      </c>
    </row>
    <row r="33" spans="1:13">
      <c r="A33" t="s">
        <v>608</v>
      </c>
      <c r="B33">
        <v>78</v>
      </c>
      <c r="C33">
        <v>82</v>
      </c>
      <c r="D33">
        <v>4</v>
      </c>
      <c r="E33" t="s">
        <v>1057</v>
      </c>
      <c r="F33" t="s">
        <v>1059</v>
      </c>
      <c r="G33" t="s">
        <v>1060</v>
      </c>
      <c r="H33" t="s">
        <v>451</v>
      </c>
      <c r="I33">
        <v>301</v>
      </c>
      <c r="J33">
        <v>16</v>
      </c>
      <c r="K33">
        <v>16</v>
      </c>
      <c r="L33">
        <v>1</v>
      </c>
      <c r="M33">
        <v>15</v>
      </c>
    </row>
    <row r="34" spans="1:13">
      <c r="A34" t="s">
        <v>608</v>
      </c>
      <c r="B34">
        <v>31</v>
      </c>
      <c r="C34">
        <v>35</v>
      </c>
      <c r="D34">
        <v>4</v>
      </c>
      <c r="E34" t="s">
        <v>786</v>
      </c>
      <c r="F34" t="s">
        <v>789</v>
      </c>
      <c r="G34" t="s">
        <v>790</v>
      </c>
      <c r="H34" t="s">
        <v>787</v>
      </c>
      <c r="I34">
        <v>1496</v>
      </c>
      <c r="J34">
        <v>46</v>
      </c>
      <c r="K34">
        <v>46</v>
      </c>
      <c r="L34">
        <v>2</v>
      </c>
      <c r="M34">
        <v>38</v>
      </c>
    </row>
    <row r="35" spans="1:13">
      <c r="A35" t="s">
        <v>17</v>
      </c>
      <c r="B35">
        <v>35</v>
      </c>
      <c r="C35">
        <v>39</v>
      </c>
      <c r="D35">
        <v>4</v>
      </c>
      <c r="E35" t="s">
        <v>222</v>
      </c>
      <c r="F35" t="s">
        <v>225</v>
      </c>
      <c r="G35" t="s">
        <v>226</v>
      </c>
      <c r="H35" t="s">
        <v>223</v>
      </c>
      <c r="I35">
        <v>489</v>
      </c>
      <c r="J35">
        <v>14</v>
      </c>
      <c r="K35">
        <v>14</v>
      </c>
      <c r="L35">
        <v>0</v>
      </c>
      <c r="M35">
        <v>31</v>
      </c>
    </row>
    <row r="36" spans="1:13">
      <c r="A36" t="s">
        <v>17</v>
      </c>
      <c r="B36">
        <v>57</v>
      </c>
      <c r="C36">
        <v>61</v>
      </c>
      <c r="D36">
        <v>4</v>
      </c>
      <c r="E36" t="s">
        <v>352</v>
      </c>
      <c r="F36" t="s">
        <v>355</v>
      </c>
      <c r="G36" t="s">
        <v>356</v>
      </c>
      <c r="H36" t="s">
        <v>353</v>
      </c>
      <c r="I36">
        <v>128</v>
      </c>
      <c r="J36">
        <v>7</v>
      </c>
      <c r="K36">
        <v>7</v>
      </c>
      <c r="L36">
        <v>3</v>
      </c>
      <c r="M36">
        <v>30</v>
      </c>
    </row>
    <row r="37" spans="1:13">
      <c r="A37" t="s">
        <v>608</v>
      </c>
      <c r="B37">
        <v>94</v>
      </c>
      <c r="C37">
        <v>97</v>
      </c>
      <c r="D37">
        <v>3</v>
      </c>
      <c r="E37" t="s">
        <v>1148</v>
      </c>
      <c r="F37" t="s">
        <v>1151</v>
      </c>
      <c r="G37" t="s">
        <v>1152</v>
      </c>
      <c r="H37" t="s">
        <v>1149</v>
      </c>
      <c r="I37">
        <v>617</v>
      </c>
      <c r="J37">
        <v>23</v>
      </c>
      <c r="K37">
        <v>23</v>
      </c>
      <c r="L37">
        <v>1</v>
      </c>
      <c r="M37">
        <v>27</v>
      </c>
    </row>
    <row r="38" spans="1:13">
      <c r="A38" t="s">
        <v>608</v>
      </c>
      <c r="B38">
        <v>25</v>
      </c>
      <c r="C38">
        <v>28</v>
      </c>
      <c r="D38">
        <v>3</v>
      </c>
      <c r="E38" t="s">
        <v>750</v>
      </c>
      <c r="F38" t="s">
        <v>753</v>
      </c>
      <c r="G38" t="s">
        <v>754</v>
      </c>
      <c r="H38" t="s">
        <v>751</v>
      </c>
      <c r="I38">
        <v>493</v>
      </c>
      <c r="J38">
        <v>38</v>
      </c>
      <c r="K38">
        <v>38</v>
      </c>
      <c r="L38">
        <v>1</v>
      </c>
      <c r="M38">
        <v>5</v>
      </c>
    </row>
    <row r="39" spans="1:13">
      <c r="A39" t="s">
        <v>608</v>
      </c>
      <c r="B39">
        <v>14</v>
      </c>
      <c r="C39">
        <v>17</v>
      </c>
      <c r="D39">
        <v>3</v>
      </c>
      <c r="E39" t="s">
        <v>685</v>
      </c>
      <c r="F39" t="s">
        <v>688</v>
      </c>
      <c r="G39" t="s">
        <v>689</v>
      </c>
      <c r="H39" t="s">
        <v>686</v>
      </c>
      <c r="I39">
        <v>1324</v>
      </c>
      <c r="J39">
        <v>26</v>
      </c>
      <c r="K39">
        <v>26</v>
      </c>
      <c r="L39">
        <v>1</v>
      </c>
      <c r="M39">
        <v>1007</v>
      </c>
    </row>
    <row r="40" spans="1:13">
      <c r="A40" t="s">
        <v>608</v>
      </c>
      <c r="B40">
        <v>66</v>
      </c>
      <c r="C40">
        <v>69</v>
      </c>
      <c r="D40">
        <v>3</v>
      </c>
      <c r="E40" t="s">
        <v>989</v>
      </c>
      <c r="F40" t="s">
        <v>992</v>
      </c>
      <c r="G40" t="s">
        <v>993</v>
      </c>
      <c r="H40" t="s">
        <v>990</v>
      </c>
      <c r="I40">
        <v>790</v>
      </c>
      <c r="J40">
        <v>18</v>
      </c>
      <c r="K40">
        <v>18</v>
      </c>
      <c r="L40">
        <v>0</v>
      </c>
      <c r="M40">
        <v>52</v>
      </c>
    </row>
    <row r="41" spans="1:13">
      <c r="A41" t="s">
        <v>608</v>
      </c>
      <c r="B41">
        <v>62</v>
      </c>
      <c r="C41">
        <v>65</v>
      </c>
      <c r="D41">
        <v>3</v>
      </c>
      <c r="E41" t="s">
        <v>965</v>
      </c>
      <c r="F41" t="s">
        <v>968</v>
      </c>
      <c r="G41" t="s">
        <v>969</v>
      </c>
      <c r="H41" t="s">
        <v>966</v>
      </c>
      <c r="I41">
        <v>762</v>
      </c>
      <c r="J41">
        <v>19</v>
      </c>
      <c r="K41">
        <v>19</v>
      </c>
      <c r="L41">
        <v>1</v>
      </c>
      <c r="M41">
        <v>28</v>
      </c>
    </row>
    <row r="42" spans="1:13">
      <c r="A42" t="s">
        <v>17</v>
      </c>
      <c r="B42">
        <v>32</v>
      </c>
      <c r="C42">
        <v>35</v>
      </c>
      <c r="D42">
        <v>3</v>
      </c>
      <c r="E42" t="s">
        <v>204</v>
      </c>
      <c r="F42" t="s">
        <v>207</v>
      </c>
      <c r="G42" t="s">
        <v>208</v>
      </c>
      <c r="H42" t="s">
        <v>205</v>
      </c>
      <c r="I42">
        <v>1851</v>
      </c>
      <c r="J42">
        <v>15</v>
      </c>
      <c r="K42">
        <v>15</v>
      </c>
      <c r="L42">
        <v>1</v>
      </c>
      <c r="M42">
        <v>489</v>
      </c>
    </row>
    <row r="43" spans="1:13">
      <c r="A43" t="s">
        <v>608</v>
      </c>
      <c r="B43">
        <v>10</v>
      </c>
      <c r="C43">
        <v>13</v>
      </c>
      <c r="D43">
        <v>3</v>
      </c>
      <c r="E43" t="s">
        <v>661</v>
      </c>
      <c r="F43" t="s">
        <v>664</v>
      </c>
      <c r="G43" t="s">
        <v>665</v>
      </c>
      <c r="H43" t="s">
        <v>662</v>
      </c>
      <c r="I43">
        <v>923</v>
      </c>
      <c r="J43">
        <v>216</v>
      </c>
      <c r="K43">
        <v>216</v>
      </c>
      <c r="L43">
        <v>2</v>
      </c>
      <c r="M43">
        <v>4</v>
      </c>
    </row>
    <row r="44" spans="1:13">
      <c r="A44" t="s">
        <v>608</v>
      </c>
      <c r="B44">
        <v>90</v>
      </c>
      <c r="C44">
        <v>93</v>
      </c>
      <c r="D44">
        <v>3</v>
      </c>
      <c r="E44" t="s">
        <v>1125</v>
      </c>
      <c r="F44" t="s">
        <v>1128</v>
      </c>
      <c r="G44" t="s">
        <v>1129</v>
      </c>
      <c r="H44" t="s">
        <v>1126</v>
      </c>
      <c r="I44">
        <v>1553</v>
      </c>
      <c r="J44">
        <v>19</v>
      </c>
      <c r="K44">
        <v>19</v>
      </c>
      <c r="L44">
        <v>0</v>
      </c>
      <c r="M44">
        <v>82</v>
      </c>
    </row>
    <row r="45" spans="1:13">
      <c r="A45" t="s">
        <v>17</v>
      </c>
      <c r="B45">
        <v>76</v>
      </c>
      <c r="C45">
        <v>78</v>
      </c>
      <c r="D45">
        <v>2</v>
      </c>
      <c r="E45" t="s">
        <v>462</v>
      </c>
      <c r="F45" t="s">
        <v>465</v>
      </c>
      <c r="G45" t="s">
        <v>466</v>
      </c>
      <c r="H45" t="s">
        <v>463</v>
      </c>
      <c r="I45">
        <v>7719</v>
      </c>
      <c r="J45">
        <v>21</v>
      </c>
      <c r="K45">
        <v>21</v>
      </c>
      <c r="L45">
        <v>0</v>
      </c>
      <c r="M45">
        <v>159</v>
      </c>
    </row>
    <row r="46" spans="1:13">
      <c r="A46" t="s">
        <v>608</v>
      </c>
      <c r="B46">
        <v>18</v>
      </c>
      <c r="C46">
        <v>20</v>
      </c>
      <c r="D46">
        <v>2</v>
      </c>
      <c r="E46" t="s">
        <v>709</v>
      </c>
      <c r="F46" t="s">
        <v>712</v>
      </c>
      <c r="G46" t="s">
        <v>713</v>
      </c>
      <c r="H46" t="s">
        <v>710</v>
      </c>
      <c r="I46">
        <v>2275</v>
      </c>
      <c r="J46">
        <v>78</v>
      </c>
      <c r="K46">
        <v>78</v>
      </c>
      <c r="L46">
        <v>1</v>
      </c>
      <c r="M46">
        <v>31</v>
      </c>
    </row>
    <row r="47" spans="1:13">
      <c r="A47" t="s">
        <v>17</v>
      </c>
      <c r="B47">
        <v>93</v>
      </c>
      <c r="C47">
        <v>95</v>
      </c>
      <c r="D47">
        <v>2</v>
      </c>
      <c r="E47" t="s">
        <v>561</v>
      </c>
      <c r="F47" t="s">
        <v>563</v>
      </c>
      <c r="G47" t="s">
        <v>564</v>
      </c>
      <c r="H47" t="s">
        <v>353</v>
      </c>
      <c r="I47">
        <v>1426</v>
      </c>
      <c r="J47">
        <v>2</v>
      </c>
      <c r="K47">
        <v>2</v>
      </c>
      <c r="L47">
        <v>4</v>
      </c>
      <c r="M47">
        <v>75</v>
      </c>
    </row>
    <row r="48" spans="1:13">
      <c r="A48" t="s">
        <v>17</v>
      </c>
      <c r="B48">
        <v>16</v>
      </c>
      <c r="C48">
        <v>18</v>
      </c>
      <c r="D48">
        <v>2</v>
      </c>
      <c r="E48" t="s">
        <v>111</v>
      </c>
      <c r="F48" t="s">
        <v>113</v>
      </c>
      <c r="G48" t="s">
        <v>114</v>
      </c>
      <c r="H48" t="s">
        <v>20</v>
      </c>
      <c r="I48">
        <v>2789</v>
      </c>
      <c r="J48">
        <v>233</v>
      </c>
      <c r="K48">
        <v>233</v>
      </c>
      <c r="L48">
        <v>1</v>
      </c>
      <c r="M48">
        <v>41</v>
      </c>
    </row>
    <row r="49" spans="1:13">
      <c r="A49" t="s">
        <v>17</v>
      </c>
      <c r="B49">
        <v>26</v>
      </c>
      <c r="C49">
        <v>28</v>
      </c>
      <c r="D49">
        <v>2</v>
      </c>
      <c r="E49" t="s">
        <v>170</v>
      </c>
      <c r="F49" t="s">
        <v>173</v>
      </c>
      <c r="G49" t="s">
        <v>174</v>
      </c>
      <c r="H49" t="s">
        <v>171</v>
      </c>
      <c r="I49">
        <v>1103</v>
      </c>
      <c r="J49">
        <v>41</v>
      </c>
      <c r="K49">
        <v>41</v>
      </c>
      <c r="L49">
        <v>1</v>
      </c>
      <c r="M49">
        <v>33</v>
      </c>
    </row>
    <row r="50" spans="1:13">
      <c r="A50" t="s">
        <v>17</v>
      </c>
      <c r="B50">
        <v>61</v>
      </c>
      <c r="C50">
        <v>63</v>
      </c>
      <c r="D50">
        <v>2</v>
      </c>
      <c r="E50" t="s">
        <v>375</v>
      </c>
      <c r="F50" t="s">
        <v>377</v>
      </c>
      <c r="G50" t="s">
        <v>378</v>
      </c>
      <c r="H50" t="s">
        <v>64</v>
      </c>
      <c r="I50">
        <v>149</v>
      </c>
      <c r="J50">
        <v>5</v>
      </c>
      <c r="K50">
        <v>5</v>
      </c>
      <c r="L50">
        <v>0</v>
      </c>
      <c r="M50">
        <v>12</v>
      </c>
    </row>
    <row r="51" spans="1:13">
      <c r="A51" t="s">
        <v>608</v>
      </c>
      <c r="B51">
        <v>48</v>
      </c>
      <c r="C51">
        <v>50</v>
      </c>
      <c r="D51">
        <v>2</v>
      </c>
      <c r="E51" t="s">
        <v>886</v>
      </c>
      <c r="F51" t="s">
        <v>888</v>
      </c>
      <c r="G51" t="s">
        <v>889</v>
      </c>
      <c r="H51" t="s">
        <v>692</v>
      </c>
      <c r="I51">
        <v>3792</v>
      </c>
      <c r="J51">
        <v>28</v>
      </c>
      <c r="K51">
        <v>28</v>
      </c>
      <c r="L51">
        <v>1</v>
      </c>
      <c r="M51">
        <v>55</v>
      </c>
    </row>
    <row r="52" spans="1:13">
      <c r="A52" t="s">
        <v>608</v>
      </c>
      <c r="B52">
        <v>56</v>
      </c>
      <c r="C52">
        <v>58</v>
      </c>
      <c r="D52">
        <v>2</v>
      </c>
      <c r="E52" t="s">
        <v>932</v>
      </c>
      <c r="F52" t="s">
        <v>935</v>
      </c>
      <c r="G52" t="s">
        <v>936</v>
      </c>
      <c r="H52" t="s">
        <v>933</v>
      </c>
      <c r="I52">
        <v>439</v>
      </c>
      <c r="J52">
        <v>21</v>
      </c>
      <c r="K52">
        <v>21</v>
      </c>
      <c r="L52">
        <v>1</v>
      </c>
      <c r="M52">
        <v>17</v>
      </c>
    </row>
    <row r="53" spans="1:13">
      <c r="A53" t="s">
        <v>608</v>
      </c>
      <c r="B53">
        <v>59</v>
      </c>
      <c r="C53">
        <v>61</v>
      </c>
      <c r="D53">
        <v>2</v>
      </c>
      <c r="E53" t="s">
        <v>949</v>
      </c>
      <c r="F53" t="s">
        <v>951</v>
      </c>
      <c r="G53" t="s">
        <v>952</v>
      </c>
      <c r="H53" t="s">
        <v>567</v>
      </c>
      <c r="I53">
        <v>321</v>
      </c>
      <c r="J53">
        <v>17</v>
      </c>
      <c r="K53">
        <v>17</v>
      </c>
      <c r="L53">
        <v>1</v>
      </c>
      <c r="M53">
        <v>23</v>
      </c>
    </row>
    <row r="54" spans="1:13">
      <c r="A54" t="s">
        <v>608</v>
      </c>
      <c r="B54">
        <v>17</v>
      </c>
      <c r="C54">
        <v>19</v>
      </c>
      <c r="D54">
        <v>2</v>
      </c>
      <c r="E54" t="s">
        <v>703</v>
      </c>
      <c r="F54" t="s">
        <v>706</v>
      </c>
      <c r="G54" t="s">
        <v>707</v>
      </c>
      <c r="H54" t="s">
        <v>704</v>
      </c>
      <c r="I54">
        <v>1722</v>
      </c>
      <c r="J54">
        <v>85</v>
      </c>
      <c r="K54">
        <v>85</v>
      </c>
      <c r="L54">
        <v>1</v>
      </c>
      <c r="M54">
        <v>24</v>
      </c>
    </row>
    <row r="55" spans="1:13">
      <c r="A55" t="s">
        <v>608</v>
      </c>
      <c r="B55">
        <v>81</v>
      </c>
      <c r="C55">
        <v>83</v>
      </c>
      <c r="D55">
        <v>2</v>
      </c>
      <c r="E55" t="s">
        <v>1074</v>
      </c>
      <c r="F55" t="s">
        <v>1077</v>
      </c>
      <c r="G55" t="s">
        <v>1078</v>
      </c>
      <c r="H55" t="s">
        <v>1075</v>
      </c>
      <c r="I55">
        <v>772</v>
      </c>
      <c r="J55">
        <v>23</v>
      </c>
      <c r="K55">
        <v>23</v>
      </c>
      <c r="L55">
        <v>0</v>
      </c>
      <c r="M55">
        <v>29</v>
      </c>
    </row>
    <row r="56" spans="1:13">
      <c r="A56" t="s">
        <v>608</v>
      </c>
      <c r="B56">
        <v>35</v>
      </c>
      <c r="C56">
        <v>37</v>
      </c>
      <c r="D56">
        <v>2</v>
      </c>
      <c r="E56" t="s">
        <v>809</v>
      </c>
      <c r="F56" t="s">
        <v>812</v>
      </c>
      <c r="G56" t="s">
        <v>813</v>
      </c>
      <c r="H56" t="s">
        <v>810</v>
      </c>
      <c r="I56">
        <v>1885</v>
      </c>
      <c r="J56">
        <v>30</v>
      </c>
      <c r="K56">
        <v>30</v>
      </c>
      <c r="L56">
        <v>1</v>
      </c>
      <c r="M56">
        <v>43</v>
      </c>
    </row>
    <row r="57" spans="1:13">
      <c r="A57" t="s">
        <v>608</v>
      </c>
      <c r="B57">
        <v>24</v>
      </c>
      <c r="C57">
        <v>26</v>
      </c>
      <c r="D57">
        <v>2</v>
      </c>
      <c r="E57" t="s">
        <v>744</v>
      </c>
      <c r="F57" t="s">
        <v>747</v>
      </c>
      <c r="G57" t="s">
        <v>748</v>
      </c>
      <c r="H57" t="s">
        <v>745</v>
      </c>
      <c r="I57">
        <v>1117</v>
      </c>
      <c r="J57">
        <v>62</v>
      </c>
      <c r="K57">
        <v>62</v>
      </c>
      <c r="L57">
        <v>1</v>
      </c>
      <c r="M57">
        <v>23</v>
      </c>
    </row>
    <row r="58" spans="1:13">
      <c r="A58" t="s">
        <v>17</v>
      </c>
      <c r="B58">
        <v>43</v>
      </c>
      <c r="C58">
        <v>44</v>
      </c>
      <c r="D58">
        <v>1</v>
      </c>
      <c r="E58" t="s">
        <v>269</v>
      </c>
      <c r="F58" t="s">
        <v>272</v>
      </c>
      <c r="G58" t="s">
        <v>273</v>
      </c>
      <c r="H58" t="s">
        <v>270</v>
      </c>
      <c r="I58">
        <v>8180</v>
      </c>
      <c r="J58">
        <v>16</v>
      </c>
      <c r="K58">
        <v>16</v>
      </c>
      <c r="L58">
        <v>1</v>
      </c>
      <c r="M58">
        <v>60</v>
      </c>
    </row>
    <row r="59" spans="1:13">
      <c r="A59" t="s">
        <v>17</v>
      </c>
      <c r="B59">
        <v>45</v>
      </c>
      <c r="C59">
        <v>46</v>
      </c>
      <c r="D59">
        <v>1</v>
      </c>
      <c r="E59" t="s">
        <v>281</v>
      </c>
      <c r="F59" t="s">
        <v>284</v>
      </c>
      <c r="G59" t="s">
        <v>285</v>
      </c>
      <c r="H59" t="s">
        <v>282</v>
      </c>
      <c r="I59">
        <v>873</v>
      </c>
      <c r="J59">
        <v>20</v>
      </c>
      <c r="K59">
        <v>20</v>
      </c>
      <c r="L59">
        <v>1</v>
      </c>
      <c r="M59">
        <v>50</v>
      </c>
    </row>
    <row r="60" spans="1:13">
      <c r="A60" t="s">
        <v>17</v>
      </c>
      <c r="B60">
        <v>73</v>
      </c>
      <c r="C60">
        <v>74</v>
      </c>
      <c r="D60">
        <v>1</v>
      </c>
      <c r="E60" t="s">
        <v>445</v>
      </c>
      <c r="F60" t="s">
        <v>447</v>
      </c>
      <c r="G60" t="s">
        <v>448</v>
      </c>
      <c r="H60" t="s">
        <v>82</v>
      </c>
      <c r="I60">
        <v>9179</v>
      </c>
      <c r="J60">
        <v>8</v>
      </c>
      <c r="K60">
        <v>8</v>
      </c>
      <c r="L60">
        <v>1</v>
      </c>
      <c r="M60">
        <v>102</v>
      </c>
    </row>
    <row r="61" spans="1:13">
      <c r="A61" t="s">
        <v>17</v>
      </c>
      <c r="B61">
        <v>72</v>
      </c>
      <c r="C61">
        <v>73</v>
      </c>
      <c r="D61">
        <v>1</v>
      </c>
      <c r="E61" t="s">
        <v>439</v>
      </c>
      <c r="F61" t="s">
        <v>442</v>
      </c>
      <c r="G61" t="s">
        <v>443</v>
      </c>
      <c r="H61" t="s">
        <v>440</v>
      </c>
      <c r="I61">
        <v>23452</v>
      </c>
      <c r="J61">
        <v>3</v>
      </c>
      <c r="K61">
        <v>3</v>
      </c>
      <c r="L61">
        <v>0</v>
      </c>
      <c r="M61">
        <v>527</v>
      </c>
    </row>
    <row r="62" spans="1:13">
      <c r="A62" t="s">
        <v>17</v>
      </c>
      <c r="B62">
        <v>25</v>
      </c>
      <c r="C62">
        <v>26</v>
      </c>
      <c r="D62">
        <v>1</v>
      </c>
      <c r="E62" t="s">
        <v>164</v>
      </c>
      <c r="F62" t="s">
        <v>167</v>
      </c>
      <c r="G62" t="s">
        <v>168</v>
      </c>
      <c r="H62" t="s">
        <v>165</v>
      </c>
      <c r="I62">
        <v>1612</v>
      </c>
      <c r="J62">
        <v>44</v>
      </c>
      <c r="K62">
        <v>44</v>
      </c>
      <c r="L62">
        <v>1</v>
      </c>
      <c r="M62">
        <v>46</v>
      </c>
    </row>
    <row r="63" spans="1:13">
      <c r="A63" t="s">
        <v>17</v>
      </c>
      <c r="B63">
        <v>64</v>
      </c>
      <c r="C63">
        <v>65</v>
      </c>
      <c r="D63">
        <v>1</v>
      </c>
      <c r="E63" t="s">
        <v>392</v>
      </c>
      <c r="F63" t="s">
        <v>395</v>
      </c>
      <c r="G63" t="s">
        <v>396</v>
      </c>
      <c r="H63" t="s">
        <v>393</v>
      </c>
      <c r="I63">
        <v>1270</v>
      </c>
      <c r="J63">
        <v>23</v>
      </c>
      <c r="K63">
        <v>23</v>
      </c>
      <c r="L63">
        <v>1</v>
      </c>
      <c r="M63">
        <v>132</v>
      </c>
    </row>
    <row r="64" spans="1:13">
      <c r="A64" t="s">
        <v>17</v>
      </c>
      <c r="B64">
        <v>14</v>
      </c>
      <c r="C64">
        <v>15</v>
      </c>
      <c r="D64">
        <v>1</v>
      </c>
      <c r="E64" t="s">
        <v>99</v>
      </c>
      <c r="F64" t="s">
        <v>102</v>
      </c>
      <c r="G64" t="s">
        <v>103</v>
      </c>
      <c r="H64" t="s">
        <v>100</v>
      </c>
      <c r="I64">
        <v>558</v>
      </c>
      <c r="J64">
        <v>48</v>
      </c>
      <c r="K64">
        <v>48</v>
      </c>
      <c r="L64">
        <v>2</v>
      </c>
      <c r="M64">
        <v>15</v>
      </c>
    </row>
    <row r="65" spans="1:13">
      <c r="A65" t="s">
        <v>608</v>
      </c>
      <c r="B65">
        <v>95</v>
      </c>
      <c r="C65">
        <v>96</v>
      </c>
      <c r="D65">
        <v>1</v>
      </c>
      <c r="E65" t="s">
        <v>1154</v>
      </c>
      <c r="F65" t="s">
        <v>1157</v>
      </c>
      <c r="G65" t="s">
        <v>1158</v>
      </c>
      <c r="H65" t="s">
        <v>1155</v>
      </c>
      <c r="I65">
        <v>894</v>
      </c>
      <c r="J65">
        <v>29</v>
      </c>
      <c r="K65">
        <v>29</v>
      </c>
      <c r="L65">
        <v>0</v>
      </c>
      <c r="M65">
        <v>24</v>
      </c>
    </row>
    <row r="66" spans="1:13">
      <c r="A66" t="s">
        <v>608</v>
      </c>
      <c r="B66">
        <v>39</v>
      </c>
      <c r="C66">
        <v>40</v>
      </c>
      <c r="D66">
        <v>1</v>
      </c>
      <c r="E66" t="s">
        <v>832</v>
      </c>
      <c r="F66" t="s">
        <v>835</v>
      </c>
      <c r="G66" t="s">
        <v>836</v>
      </c>
      <c r="H66" t="s">
        <v>833</v>
      </c>
      <c r="I66">
        <v>663</v>
      </c>
      <c r="J66">
        <v>31</v>
      </c>
      <c r="K66">
        <v>31</v>
      </c>
      <c r="L66">
        <v>1</v>
      </c>
      <c r="M66">
        <v>32</v>
      </c>
    </row>
    <row r="67" spans="1:13">
      <c r="A67" t="s">
        <v>17</v>
      </c>
      <c r="B67">
        <v>92</v>
      </c>
      <c r="C67">
        <v>93</v>
      </c>
      <c r="D67">
        <v>1</v>
      </c>
      <c r="E67" t="s">
        <v>556</v>
      </c>
      <c r="F67" t="s">
        <v>558</v>
      </c>
      <c r="G67" t="s">
        <v>559</v>
      </c>
      <c r="H67" t="s">
        <v>428</v>
      </c>
      <c r="I67">
        <v>12669</v>
      </c>
      <c r="J67">
        <v>6</v>
      </c>
      <c r="K67">
        <v>6</v>
      </c>
      <c r="L67">
        <v>1</v>
      </c>
      <c r="M67">
        <v>190</v>
      </c>
    </row>
    <row r="68" spans="1:13">
      <c r="A68" t="s">
        <v>17</v>
      </c>
      <c r="B68">
        <v>36</v>
      </c>
      <c r="C68">
        <v>37</v>
      </c>
      <c r="D68">
        <v>1</v>
      </c>
      <c r="E68" t="s">
        <v>228</v>
      </c>
      <c r="F68" t="s">
        <v>231</v>
      </c>
      <c r="G68" t="s">
        <v>232</v>
      </c>
      <c r="H68" t="s">
        <v>229</v>
      </c>
      <c r="I68">
        <v>434</v>
      </c>
      <c r="J68">
        <v>14</v>
      </c>
      <c r="K68">
        <v>14</v>
      </c>
      <c r="L68">
        <v>1</v>
      </c>
      <c r="M68">
        <v>23</v>
      </c>
    </row>
    <row r="69" spans="1:13">
      <c r="A69" t="s">
        <v>17</v>
      </c>
      <c r="B69">
        <v>3</v>
      </c>
      <c r="C69">
        <v>4</v>
      </c>
      <c r="D69">
        <v>1</v>
      </c>
      <c r="E69" t="s">
        <v>32</v>
      </c>
      <c r="F69" t="s">
        <v>35</v>
      </c>
      <c r="G69" t="s">
        <v>36</v>
      </c>
      <c r="H69" t="s">
        <v>33</v>
      </c>
      <c r="I69">
        <v>3019</v>
      </c>
      <c r="J69">
        <v>231</v>
      </c>
      <c r="K69">
        <v>231</v>
      </c>
      <c r="L69">
        <v>2</v>
      </c>
      <c r="M69">
        <v>20</v>
      </c>
    </row>
    <row r="70" spans="1:13">
      <c r="A70" t="s">
        <v>17</v>
      </c>
      <c r="B70">
        <v>9</v>
      </c>
      <c r="C70">
        <v>10</v>
      </c>
      <c r="D70">
        <v>1</v>
      </c>
      <c r="E70" t="s">
        <v>69</v>
      </c>
      <c r="F70" t="s">
        <v>72</v>
      </c>
      <c r="G70" t="s">
        <v>73</v>
      </c>
      <c r="H70" t="s">
        <v>70</v>
      </c>
      <c r="I70">
        <v>1158</v>
      </c>
      <c r="J70">
        <v>62</v>
      </c>
      <c r="K70">
        <v>62</v>
      </c>
      <c r="L70">
        <v>1</v>
      </c>
      <c r="M70">
        <v>30</v>
      </c>
    </row>
    <row r="71" spans="1:13">
      <c r="A71" t="s">
        <v>17</v>
      </c>
      <c r="B71">
        <v>95</v>
      </c>
      <c r="C71">
        <v>96</v>
      </c>
      <c r="D71">
        <v>1</v>
      </c>
      <c r="E71" t="s">
        <v>572</v>
      </c>
      <c r="F71" t="s">
        <v>575</v>
      </c>
      <c r="G71" t="s">
        <v>576</v>
      </c>
      <c r="H71" t="s">
        <v>573</v>
      </c>
      <c r="I71">
        <v>266</v>
      </c>
      <c r="J71">
        <v>15</v>
      </c>
      <c r="K71">
        <v>15</v>
      </c>
      <c r="L71">
        <v>0</v>
      </c>
      <c r="M71">
        <v>17</v>
      </c>
    </row>
    <row r="72" spans="1:13">
      <c r="A72" t="s">
        <v>608</v>
      </c>
      <c r="B72">
        <v>21</v>
      </c>
      <c r="C72">
        <v>22</v>
      </c>
      <c r="D72">
        <v>1</v>
      </c>
      <c r="E72" t="s">
        <v>727</v>
      </c>
      <c r="F72" t="s">
        <v>730</v>
      </c>
      <c r="G72" t="s">
        <v>731</v>
      </c>
      <c r="H72" t="s">
        <v>728</v>
      </c>
      <c r="I72">
        <v>844</v>
      </c>
      <c r="J72">
        <v>42</v>
      </c>
      <c r="K72">
        <v>42</v>
      </c>
      <c r="L72">
        <v>4</v>
      </c>
      <c r="M72">
        <v>44</v>
      </c>
    </row>
    <row r="73" spans="1:13">
      <c r="A73" t="s">
        <v>608</v>
      </c>
      <c r="B73">
        <v>1</v>
      </c>
      <c r="C73">
        <v>2</v>
      </c>
      <c r="D73">
        <v>1</v>
      </c>
      <c r="E73" t="s">
        <v>609</v>
      </c>
      <c r="F73" t="s">
        <v>612</v>
      </c>
      <c r="G73" t="s">
        <v>613</v>
      </c>
      <c r="H73" t="s">
        <v>610</v>
      </c>
      <c r="I73">
        <v>6553</v>
      </c>
      <c r="J73">
        <v>597</v>
      </c>
      <c r="K73">
        <v>597</v>
      </c>
      <c r="L73">
        <v>1</v>
      </c>
      <c r="M73">
        <v>23</v>
      </c>
    </row>
    <row r="74" spans="1:13">
      <c r="A74" t="s">
        <v>608</v>
      </c>
      <c r="B74">
        <v>40</v>
      </c>
      <c r="C74">
        <v>41</v>
      </c>
      <c r="D74">
        <v>1</v>
      </c>
      <c r="E74" t="s">
        <v>838</v>
      </c>
      <c r="F74" t="s">
        <v>841</v>
      </c>
      <c r="G74" t="s">
        <v>842</v>
      </c>
      <c r="H74" t="s">
        <v>839</v>
      </c>
      <c r="I74">
        <v>910</v>
      </c>
      <c r="J74">
        <v>56</v>
      </c>
      <c r="K74">
        <v>56</v>
      </c>
      <c r="L74">
        <v>1</v>
      </c>
      <c r="M74">
        <v>26</v>
      </c>
    </row>
    <row r="75" spans="1:13">
      <c r="A75" t="s">
        <v>608</v>
      </c>
      <c r="B75">
        <v>38</v>
      </c>
      <c r="C75">
        <v>39</v>
      </c>
      <c r="D75">
        <v>1</v>
      </c>
      <c r="E75" t="s">
        <v>827</v>
      </c>
      <c r="F75" t="s">
        <v>829</v>
      </c>
      <c r="G75" t="s">
        <v>830</v>
      </c>
      <c r="H75" t="s">
        <v>751</v>
      </c>
      <c r="I75">
        <v>1516</v>
      </c>
      <c r="J75">
        <v>38</v>
      </c>
      <c r="K75">
        <v>38</v>
      </c>
      <c r="L75">
        <v>0</v>
      </c>
      <c r="M75">
        <v>27</v>
      </c>
    </row>
    <row r="76" spans="1:13">
      <c r="A76" t="s">
        <v>608</v>
      </c>
      <c r="B76">
        <v>52</v>
      </c>
      <c r="C76">
        <v>53</v>
      </c>
      <c r="D76">
        <v>1</v>
      </c>
      <c r="E76" t="s">
        <v>908</v>
      </c>
      <c r="F76" t="s">
        <v>911</v>
      </c>
      <c r="G76" t="s">
        <v>912</v>
      </c>
      <c r="H76" t="s">
        <v>909</v>
      </c>
      <c r="I76">
        <v>320</v>
      </c>
      <c r="J76">
        <v>14</v>
      </c>
      <c r="K76">
        <v>14</v>
      </c>
      <c r="L76">
        <v>1</v>
      </c>
      <c r="M76">
        <v>12</v>
      </c>
    </row>
    <row r="77" spans="1:13">
      <c r="A77" t="s">
        <v>608</v>
      </c>
      <c r="B77">
        <v>11</v>
      </c>
      <c r="C77">
        <v>12</v>
      </c>
      <c r="D77">
        <v>1</v>
      </c>
      <c r="E77" t="s">
        <v>667</v>
      </c>
      <c r="F77" t="s">
        <v>670</v>
      </c>
      <c r="G77" t="s">
        <v>671</v>
      </c>
      <c r="H77" t="s">
        <v>668</v>
      </c>
      <c r="I77">
        <v>1639</v>
      </c>
      <c r="J77">
        <v>218</v>
      </c>
      <c r="K77">
        <v>218</v>
      </c>
      <c r="L77">
        <v>1</v>
      </c>
      <c r="M77">
        <v>17</v>
      </c>
    </row>
    <row r="78" spans="1:13">
      <c r="A78" t="s">
        <v>608</v>
      </c>
      <c r="B78">
        <v>75</v>
      </c>
      <c r="C78">
        <v>76</v>
      </c>
      <c r="D78">
        <v>1</v>
      </c>
      <c r="E78" t="s">
        <v>1041</v>
      </c>
      <c r="F78" t="s">
        <v>1044</v>
      </c>
      <c r="G78" t="s">
        <v>1045</v>
      </c>
      <c r="H78" t="s">
        <v>1042</v>
      </c>
      <c r="I78">
        <v>455</v>
      </c>
      <c r="J78">
        <v>35</v>
      </c>
      <c r="K78">
        <v>35</v>
      </c>
      <c r="L78">
        <v>1</v>
      </c>
      <c r="M78">
        <v>18</v>
      </c>
    </row>
    <row r="79" spans="1:13">
      <c r="A79" t="s">
        <v>608</v>
      </c>
      <c r="B79">
        <v>2</v>
      </c>
      <c r="C79">
        <v>3</v>
      </c>
      <c r="D79">
        <v>1</v>
      </c>
      <c r="E79" t="s">
        <v>615</v>
      </c>
      <c r="F79" t="s">
        <v>618</v>
      </c>
      <c r="G79" t="s">
        <v>619</v>
      </c>
      <c r="H79" t="s">
        <v>616</v>
      </c>
      <c r="I79">
        <v>3511</v>
      </c>
      <c r="J79">
        <v>360</v>
      </c>
      <c r="K79">
        <v>360</v>
      </c>
      <c r="L79">
        <v>2</v>
      </c>
      <c r="M79">
        <v>18</v>
      </c>
    </row>
    <row r="80" spans="1:13">
      <c r="A80" t="s">
        <v>608</v>
      </c>
      <c r="B80">
        <v>8</v>
      </c>
      <c r="C80">
        <v>9</v>
      </c>
      <c r="D80">
        <v>1</v>
      </c>
      <c r="E80" t="s">
        <v>649</v>
      </c>
      <c r="F80" t="s">
        <v>652</v>
      </c>
      <c r="G80" t="s">
        <v>653</v>
      </c>
      <c r="H80" t="s">
        <v>650</v>
      </c>
      <c r="I80">
        <v>1037</v>
      </c>
      <c r="J80">
        <v>214</v>
      </c>
      <c r="K80">
        <v>214</v>
      </c>
      <c r="L80">
        <v>1</v>
      </c>
      <c r="M80">
        <v>6</v>
      </c>
    </row>
  </sheetData>
  <phoneticPr fontId="1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3"/>
  <sheetViews>
    <sheetView workbookViewId="0"/>
  </sheetViews>
  <sheetFormatPr defaultRowHeight="13.2"/>
  <sheetData>
    <row r="1" spans="1:13">
      <c r="A1" s="1" t="s">
        <v>0</v>
      </c>
      <c r="B1" s="1" t="s">
        <v>1</v>
      </c>
      <c r="C1" s="1" t="s">
        <v>1211</v>
      </c>
      <c r="D1" s="1" t="s">
        <v>1212</v>
      </c>
      <c r="E1" s="1" t="s">
        <v>3</v>
      </c>
      <c r="F1" s="1" t="s">
        <v>6</v>
      </c>
      <c r="G1" s="1" t="s">
        <v>1213</v>
      </c>
      <c r="H1" s="1" t="s">
        <v>4</v>
      </c>
      <c r="I1" s="1" t="s">
        <v>10</v>
      </c>
      <c r="J1" s="1" t="s">
        <v>11</v>
      </c>
      <c r="K1" s="1" t="s">
        <v>12</v>
      </c>
      <c r="L1" s="1" t="s">
        <v>1214</v>
      </c>
      <c r="M1" s="1" t="s">
        <v>15</v>
      </c>
    </row>
    <row r="2" spans="1:13">
      <c r="A2" t="s">
        <v>17</v>
      </c>
      <c r="B2">
        <v>87</v>
      </c>
      <c r="C2">
        <v>70</v>
      </c>
      <c r="D2">
        <v>-17</v>
      </c>
      <c r="E2" t="s">
        <v>526</v>
      </c>
      <c r="F2" t="s">
        <v>529</v>
      </c>
      <c r="G2" t="s">
        <v>530</v>
      </c>
      <c r="H2" t="s">
        <v>527</v>
      </c>
      <c r="I2">
        <v>269</v>
      </c>
      <c r="J2">
        <v>2</v>
      </c>
      <c r="K2">
        <v>2</v>
      </c>
      <c r="L2">
        <v>0</v>
      </c>
      <c r="M2">
        <v>19</v>
      </c>
    </row>
    <row r="3" spans="1:13">
      <c r="A3" t="s">
        <v>17</v>
      </c>
      <c r="B3">
        <v>99</v>
      </c>
      <c r="C3">
        <v>83</v>
      </c>
      <c r="D3">
        <v>-16</v>
      </c>
      <c r="E3" t="s">
        <v>596</v>
      </c>
      <c r="F3" t="s">
        <v>599</v>
      </c>
      <c r="G3" t="s">
        <v>600</v>
      </c>
      <c r="H3" t="s">
        <v>597</v>
      </c>
      <c r="I3">
        <v>284</v>
      </c>
      <c r="J3">
        <v>9</v>
      </c>
      <c r="K3">
        <v>9</v>
      </c>
      <c r="L3">
        <v>1</v>
      </c>
      <c r="M3">
        <v>12</v>
      </c>
    </row>
    <row r="4" spans="1:13">
      <c r="A4" t="s">
        <v>608</v>
      </c>
      <c r="B4">
        <v>96</v>
      </c>
      <c r="C4">
        <v>80</v>
      </c>
      <c r="D4">
        <v>-16</v>
      </c>
      <c r="E4" t="s">
        <v>1160</v>
      </c>
      <c r="F4" t="s">
        <v>1163</v>
      </c>
      <c r="G4" t="s">
        <v>1164</v>
      </c>
      <c r="H4" t="s">
        <v>1161</v>
      </c>
      <c r="I4">
        <v>3234</v>
      </c>
      <c r="J4">
        <v>18</v>
      </c>
      <c r="K4">
        <v>18</v>
      </c>
      <c r="L4">
        <v>1</v>
      </c>
      <c r="M4">
        <v>55</v>
      </c>
    </row>
    <row r="5" spans="1:13">
      <c r="A5" t="s">
        <v>17</v>
      </c>
      <c r="B5">
        <v>49</v>
      </c>
      <c r="C5">
        <v>34</v>
      </c>
      <c r="D5">
        <v>-15</v>
      </c>
      <c r="E5" t="s">
        <v>305</v>
      </c>
      <c r="F5" t="s">
        <v>307</v>
      </c>
      <c r="G5" t="s">
        <v>308</v>
      </c>
      <c r="H5" t="s">
        <v>33</v>
      </c>
      <c r="I5">
        <v>1714</v>
      </c>
      <c r="J5">
        <v>6</v>
      </c>
      <c r="K5">
        <v>6</v>
      </c>
      <c r="L5">
        <v>0</v>
      </c>
      <c r="M5">
        <v>31</v>
      </c>
    </row>
    <row r="6" spans="1:13">
      <c r="A6" t="s">
        <v>17</v>
      </c>
      <c r="B6">
        <v>47</v>
      </c>
      <c r="C6">
        <v>33</v>
      </c>
      <c r="D6">
        <v>-14</v>
      </c>
      <c r="E6" t="s">
        <v>293</v>
      </c>
      <c r="F6" t="s">
        <v>296</v>
      </c>
      <c r="G6" t="s">
        <v>297</v>
      </c>
      <c r="H6" t="s">
        <v>294</v>
      </c>
      <c r="I6">
        <v>2164</v>
      </c>
      <c r="J6">
        <v>9</v>
      </c>
      <c r="K6">
        <v>9</v>
      </c>
      <c r="L6">
        <v>0</v>
      </c>
      <c r="M6">
        <v>19</v>
      </c>
    </row>
    <row r="7" spans="1:13">
      <c r="A7" t="s">
        <v>17</v>
      </c>
      <c r="B7">
        <v>71</v>
      </c>
      <c r="C7">
        <v>57</v>
      </c>
      <c r="D7">
        <v>-14</v>
      </c>
      <c r="E7" t="s">
        <v>433</v>
      </c>
      <c r="F7" t="s">
        <v>436</v>
      </c>
      <c r="G7" t="s">
        <v>437</v>
      </c>
      <c r="H7" t="s">
        <v>434</v>
      </c>
      <c r="I7">
        <v>695</v>
      </c>
      <c r="J7">
        <v>0</v>
      </c>
      <c r="K7">
        <v>0</v>
      </c>
      <c r="L7">
        <v>0</v>
      </c>
      <c r="M7">
        <v>8</v>
      </c>
    </row>
    <row r="8" spans="1:13">
      <c r="A8" t="s">
        <v>608</v>
      </c>
      <c r="B8">
        <v>93</v>
      </c>
      <c r="C8">
        <v>79</v>
      </c>
      <c r="D8">
        <v>-14</v>
      </c>
      <c r="E8" t="s">
        <v>1142</v>
      </c>
      <c r="F8" t="s">
        <v>1145</v>
      </c>
      <c r="G8" t="s">
        <v>1146</v>
      </c>
      <c r="H8" t="s">
        <v>1143</v>
      </c>
      <c r="I8">
        <v>282</v>
      </c>
      <c r="J8">
        <v>6</v>
      </c>
      <c r="K8">
        <v>6</v>
      </c>
      <c r="L8">
        <v>1</v>
      </c>
      <c r="M8">
        <v>17</v>
      </c>
    </row>
    <row r="9" spans="1:13">
      <c r="A9" t="s">
        <v>608</v>
      </c>
      <c r="B9">
        <v>68</v>
      </c>
      <c r="C9">
        <v>56</v>
      </c>
      <c r="D9">
        <v>-12</v>
      </c>
      <c r="E9" t="s">
        <v>1001</v>
      </c>
      <c r="F9" t="s">
        <v>1004</v>
      </c>
      <c r="G9" t="s">
        <v>1005</v>
      </c>
      <c r="H9" t="s">
        <v>1002</v>
      </c>
      <c r="I9">
        <v>3586</v>
      </c>
      <c r="J9">
        <v>13</v>
      </c>
      <c r="K9">
        <v>13</v>
      </c>
      <c r="L9">
        <v>1</v>
      </c>
      <c r="M9">
        <v>42</v>
      </c>
    </row>
    <row r="10" spans="1:13">
      <c r="A10" t="s">
        <v>17</v>
      </c>
      <c r="B10">
        <v>41</v>
      </c>
      <c r="C10">
        <v>29</v>
      </c>
      <c r="D10">
        <v>-12</v>
      </c>
      <c r="E10" t="s">
        <v>257</v>
      </c>
      <c r="F10" t="s">
        <v>260</v>
      </c>
      <c r="G10" t="s">
        <v>261</v>
      </c>
      <c r="H10" t="s">
        <v>258</v>
      </c>
      <c r="I10">
        <v>4685</v>
      </c>
      <c r="J10">
        <v>32</v>
      </c>
      <c r="K10">
        <v>32</v>
      </c>
      <c r="L10">
        <v>0</v>
      </c>
      <c r="M10">
        <v>10</v>
      </c>
    </row>
    <row r="11" spans="1:13">
      <c r="A11" t="s">
        <v>608</v>
      </c>
      <c r="B11">
        <v>63</v>
      </c>
      <c r="C11">
        <v>52</v>
      </c>
      <c r="D11">
        <v>-11</v>
      </c>
      <c r="E11" t="s">
        <v>971</v>
      </c>
      <c r="F11" t="s">
        <v>974</v>
      </c>
      <c r="G11" t="s">
        <v>975</v>
      </c>
      <c r="H11" t="s">
        <v>972</v>
      </c>
      <c r="I11">
        <v>7737</v>
      </c>
      <c r="J11">
        <v>17</v>
      </c>
      <c r="K11">
        <v>17</v>
      </c>
      <c r="L11">
        <v>0</v>
      </c>
      <c r="M11">
        <v>980</v>
      </c>
    </row>
    <row r="12" spans="1:13">
      <c r="A12" t="s">
        <v>608</v>
      </c>
      <c r="B12">
        <v>70</v>
      </c>
      <c r="C12">
        <v>60</v>
      </c>
      <c r="D12">
        <v>-10</v>
      </c>
      <c r="E12" t="s">
        <v>1013</v>
      </c>
      <c r="F12" t="s">
        <v>1015</v>
      </c>
      <c r="G12" t="s">
        <v>1016</v>
      </c>
      <c r="H12" t="s">
        <v>650</v>
      </c>
      <c r="I12">
        <v>1252</v>
      </c>
      <c r="J12">
        <v>24</v>
      </c>
      <c r="K12">
        <v>24</v>
      </c>
      <c r="L12">
        <v>0</v>
      </c>
      <c r="M12">
        <v>27</v>
      </c>
    </row>
    <row r="13" spans="1:13">
      <c r="A13" t="s">
        <v>17</v>
      </c>
      <c r="B13">
        <v>51</v>
      </c>
      <c r="C13">
        <v>41</v>
      </c>
      <c r="D13">
        <v>-10</v>
      </c>
      <c r="E13" t="s">
        <v>316</v>
      </c>
      <c r="F13" t="s">
        <v>319</v>
      </c>
      <c r="G13" t="s">
        <v>320</v>
      </c>
      <c r="H13" t="s">
        <v>317</v>
      </c>
      <c r="I13">
        <v>1544</v>
      </c>
      <c r="J13">
        <v>6</v>
      </c>
      <c r="K13">
        <v>6</v>
      </c>
      <c r="L13">
        <v>0</v>
      </c>
      <c r="M13">
        <v>36</v>
      </c>
    </row>
    <row r="14" spans="1:13">
      <c r="A14" t="s">
        <v>17</v>
      </c>
      <c r="B14">
        <v>83</v>
      </c>
      <c r="C14">
        <v>76</v>
      </c>
      <c r="D14">
        <v>-7</v>
      </c>
      <c r="E14" t="s">
        <v>503</v>
      </c>
      <c r="F14" t="s">
        <v>506</v>
      </c>
      <c r="G14" t="s">
        <v>507</v>
      </c>
      <c r="H14" t="s">
        <v>504</v>
      </c>
      <c r="I14">
        <v>2077</v>
      </c>
      <c r="J14">
        <v>0</v>
      </c>
      <c r="K14">
        <v>0</v>
      </c>
      <c r="L14">
        <v>1</v>
      </c>
      <c r="M14">
        <v>196</v>
      </c>
    </row>
    <row r="15" spans="1:13">
      <c r="A15" t="s">
        <v>17</v>
      </c>
      <c r="B15">
        <v>29</v>
      </c>
      <c r="C15">
        <v>22</v>
      </c>
      <c r="D15">
        <v>-7</v>
      </c>
      <c r="E15" t="s">
        <v>187</v>
      </c>
      <c r="F15" t="s">
        <v>190</v>
      </c>
      <c r="G15" t="s">
        <v>191</v>
      </c>
      <c r="H15" t="s">
        <v>188</v>
      </c>
      <c r="I15">
        <v>656</v>
      </c>
      <c r="J15">
        <v>11</v>
      </c>
      <c r="K15">
        <v>11</v>
      </c>
      <c r="L15">
        <v>1</v>
      </c>
      <c r="M15">
        <v>30</v>
      </c>
    </row>
    <row r="16" spans="1:13">
      <c r="A16" t="s">
        <v>608</v>
      </c>
      <c r="B16">
        <v>45</v>
      </c>
      <c r="C16">
        <v>38</v>
      </c>
      <c r="D16">
        <v>-7</v>
      </c>
      <c r="E16" t="s">
        <v>868</v>
      </c>
      <c r="F16" t="s">
        <v>871</v>
      </c>
      <c r="G16" t="s">
        <v>872</v>
      </c>
      <c r="H16" t="s">
        <v>869</v>
      </c>
      <c r="I16">
        <v>11377</v>
      </c>
      <c r="J16">
        <v>15</v>
      </c>
      <c r="K16">
        <v>15</v>
      </c>
      <c r="L16">
        <v>0</v>
      </c>
      <c r="M16">
        <v>1573</v>
      </c>
    </row>
    <row r="17" spans="1:13">
      <c r="A17" t="s">
        <v>608</v>
      </c>
      <c r="B17">
        <v>82</v>
      </c>
      <c r="C17">
        <v>75</v>
      </c>
      <c r="D17">
        <v>-7</v>
      </c>
      <c r="E17" t="s">
        <v>1080</v>
      </c>
      <c r="F17" t="s">
        <v>1083</v>
      </c>
      <c r="G17" t="s">
        <v>1084</v>
      </c>
      <c r="H17" t="s">
        <v>1081</v>
      </c>
      <c r="I17">
        <v>21592</v>
      </c>
      <c r="J17">
        <v>13</v>
      </c>
      <c r="K17">
        <v>13</v>
      </c>
      <c r="L17">
        <v>0</v>
      </c>
      <c r="M17">
        <v>883</v>
      </c>
    </row>
    <row r="18" spans="1:13">
      <c r="A18" t="s">
        <v>608</v>
      </c>
      <c r="B18">
        <v>54</v>
      </c>
      <c r="C18">
        <v>47</v>
      </c>
      <c r="D18">
        <v>-7</v>
      </c>
      <c r="E18" t="s">
        <v>920</v>
      </c>
      <c r="F18" t="s">
        <v>923</v>
      </c>
      <c r="G18" t="s">
        <v>924</v>
      </c>
      <c r="H18" t="s">
        <v>921</v>
      </c>
      <c r="I18">
        <v>370</v>
      </c>
      <c r="J18">
        <v>82</v>
      </c>
      <c r="K18">
        <v>82</v>
      </c>
      <c r="L18">
        <v>1</v>
      </c>
      <c r="M18">
        <v>9</v>
      </c>
    </row>
    <row r="19" spans="1:13">
      <c r="A19" t="s">
        <v>608</v>
      </c>
      <c r="B19">
        <v>91</v>
      </c>
      <c r="C19">
        <v>84</v>
      </c>
      <c r="D19">
        <v>-7</v>
      </c>
      <c r="E19" t="s">
        <v>1131</v>
      </c>
      <c r="F19" t="s">
        <v>1133</v>
      </c>
      <c r="G19" t="s">
        <v>1134</v>
      </c>
      <c r="H19" t="s">
        <v>1081</v>
      </c>
      <c r="I19">
        <v>18830</v>
      </c>
      <c r="J19">
        <v>12</v>
      </c>
      <c r="K19">
        <v>12</v>
      </c>
      <c r="L19">
        <v>1</v>
      </c>
      <c r="M19">
        <v>175</v>
      </c>
    </row>
    <row r="20" spans="1:13">
      <c r="A20" t="s">
        <v>17</v>
      </c>
      <c r="B20">
        <v>90</v>
      </c>
      <c r="C20">
        <v>84</v>
      </c>
      <c r="D20">
        <v>-6</v>
      </c>
      <c r="E20" t="s">
        <v>544</v>
      </c>
      <c r="F20" t="s">
        <v>547</v>
      </c>
      <c r="G20" t="s">
        <v>548</v>
      </c>
      <c r="H20" t="s">
        <v>545</v>
      </c>
      <c r="I20">
        <v>2939</v>
      </c>
      <c r="J20">
        <v>0</v>
      </c>
      <c r="K20">
        <v>0</v>
      </c>
      <c r="L20">
        <v>0</v>
      </c>
      <c r="M20">
        <v>141</v>
      </c>
    </row>
    <row r="21" spans="1:13">
      <c r="A21" t="s">
        <v>608</v>
      </c>
      <c r="B21">
        <v>37</v>
      </c>
      <c r="C21">
        <v>31</v>
      </c>
      <c r="D21">
        <v>-6</v>
      </c>
      <c r="E21" t="s">
        <v>821</v>
      </c>
      <c r="F21" t="s">
        <v>824</v>
      </c>
      <c r="G21" t="s">
        <v>825</v>
      </c>
      <c r="H21" t="s">
        <v>822</v>
      </c>
      <c r="I21">
        <v>8275</v>
      </c>
      <c r="J21">
        <v>21</v>
      </c>
      <c r="K21">
        <v>21</v>
      </c>
      <c r="L21">
        <v>0</v>
      </c>
      <c r="M21">
        <v>580</v>
      </c>
    </row>
    <row r="22" spans="1:13">
      <c r="A22" t="s">
        <v>608</v>
      </c>
      <c r="B22">
        <v>77</v>
      </c>
      <c r="C22">
        <v>71</v>
      </c>
      <c r="D22">
        <v>-6</v>
      </c>
      <c r="E22" t="s">
        <v>1052</v>
      </c>
      <c r="F22" t="s">
        <v>1054</v>
      </c>
      <c r="G22" t="s">
        <v>1055</v>
      </c>
      <c r="H22" t="s">
        <v>716</v>
      </c>
      <c r="I22">
        <v>291</v>
      </c>
      <c r="J22">
        <v>14</v>
      </c>
      <c r="K22">
        <v>14</v>
      </c>
      <c r="L22">
        <v>1</v>
      </c>
      <c r="M22">
        <v>11</v>
      </c>
    </row>
    <row r="23" spans="1:13">
      <c r="A23" t="s">
        <v>608</v>
      </c>
      <c r="B23">
        <v>100</v>
      </c>
      <c r="C23">
        <v>94</v>
      </c>
      <c r="D23">
        <v>-6</v>
      </c>
      <c r="E23" t="s">
        <v>1183</v>
      </c>
      <c r="F23" t="s">
        <v>1186</v>
      </c>
      <c r="G23" t="s">
        <v>1187</v>
      </c>
      <c r="H23" t="s">
        <v>1184</v>
      </c>
      <c r="I23">
        <v>428</v>
      </c>
      <c r="J23">
        <v>27</v>
      </c>
      <c r="K23">
        <v>27</v>
      </c>
      <c r="L23">
        <v>1</v>
      </c>
      <c r="M23">
        <v>13</v>
      </c>
    </row>
    <row r="24" spans="1:13">
      <c r="A24" t="s">
        <v>17</v>
      </c>
      <c r="B24">
        <v>91</v>
      </c>
      <c r="C24">
        <v>86</v>
      </c>
      <c r="D24">
        <v>-5</v>
      </c>
      <c r="E24" t="s">
        <v>550</v>
      </c>
      <c r="F24" t="s">
        <v>553</v>
      </c>
      <c r="G24" t="s">
        <v>554</v>
      </c>
      <c r="H24" t="s">
        <v>551</v>
      </c>
      <c r="I24">
        <v>1944</v>
      </c>
      <c r="J24">
        <v>22</v>
      </c>
      <c r="K24">
        <v>22</v>
      </c>
      <c r="L24">
        <v>0</v>
      </c>
      <c r="M24">
        <v>24</v>
      </c>
    </row>
    <row r="25" spans="1:13">
      <c r="A25" t="s">
        <v>608</v>
      </c>
      <c r="B25">
        <v>20</v>
      </c>
      <c r="C25">
        <v>15</v>
      </c>
      <c r="D25">
        <v>-5</v>
      </c>
      <c r="E25" t="s">
        <v>721</v>
      </c>
      <c r="F25" t="s">
        <v>724</v>
      </c>
      <c r="G25" t="s">
        <v>725</v>
      </c>
      <c r="H25" t="s">
        <v>722</v>
      </c>
      <c r="I25">
        <v>10879</v>
      </c>
      <c r="J25">
        <v>59</v>
      </c>
      <c r="K25">
        <v>59</v>
      </c>
      <c r="L25">
        <v>1</v>
      </c>
      <c r="M25">
        <v>48</v>
      </c>
    </row>
    <row r="26" spans="1:13">
      <c r="A26" t="s">
        <v>608</v>
      </c>
      <c r="B26">
        <v>71</v>
      </c>
      <c r="C26">
        <v>66</v>
      </c>
      <c r="D26">
        <v>-5</v>
      </c>
      <c r="E26" t="s">
        <v>1018</v>
      </c>
      <c r="F26" t="s">
        <v>1021</v>
      </c>
      <c r="G26" t="s">
        <v>1022</v>
      </c>
      <c r="H26" t="s">
        <v>1019</v>
      </c>
      <c r="I26">
        <v>12748</v>
      </c>
      <c r="J26">
        <v>6</v>
      </c>
      <c r="K26">
        <v>6</v>
      </c>
      <c r="L26">
        <v>0</v>
      </c>
      <c r="M26">
        <v>495</v>
      </c>
    </row>
    <row r="27" spans="1:13">
      <c r="A27" t="s">
        <v>17</v>
      </c>
      <c r="B27">
        <v>86</v>
      </c>
      <c r="C27">
        <v>81</v>
      </c>
      <c r="D27">
        <v>-5</v>
      </c>
      <c r="E27" t="s">
        <v>520</v>
      </c>
      <c r="F27" t="s">
        <v>523</v>
      </c>
      <c r="G27" t="s">
        <v>524</v>
      </c>
      <c r="H27" t="s">
        <v>521</v>
      </c>
      <c r="I27">
        <v>942</v>
      </c>
      <c r="J27">
        <v>8</v>
      </c>
      <c r="K27">
        <v>8</v>
      </c>
      <c r="L27">
        <v>0</v>
      </c>
      <c r="M27">
        <v>14</v>
      </c>
    </row>
    <row r="28" spans="1:13">
      <c r="A28" t="s">
        <v>17</v>
      </c>
      <c r="B28">
        <v>84</v>
      </c>
      <c r="C28">
        <v>79</v>
      </c>
      <c r="D28">
        <v>-5</v>
      </c>
      <c r="E28" t="s">
        <v>509</v>
      </c>
      <c r="F28" t="s">
        <v>512</v>
      </c>
      <c r="G28" t="s">
        <v>513</v>
      </c>
      <c r="H28" t="s">
        <v>510</v>
      </c>
      <c r="I28">
        <v>924</v>
      </c>
      <c r="J28">
        <v>7</v>
      </c>
      <c r="K28">
        <v>7</v>
      </c>
      <c r="L28">
        <v>1</v>
      </c>
      <c r="M28">
        <v>67</v>
      </c>
    </row>
    <row r="29" spans="1:13">
      <c r="A29" t="s">
        <v>17</v>
      </c>
      <c r="B29">
        <v>82</v>
      </c>
      <c r="C29">
        <v>77</v>
      </c>
      <c r="D29">
        <v>-5</v>
      </c>
      <c r="E29" t="s">
        <v>497</v>
      </c>
      <c r="F29" t="s">
        <v>500</v>
      </c>
      <c r="G29" t="s">
        <v>501</v>
      </c>
      <c r="H29" t="s">
        <v>498</v>
      </c>
      <c r="I29">
        <v>737</v>
      </c>
      <c r="J29">
        <v>8</v>
      </c>
      <c r="K29">
        <v>8</v>
      </c>
      <c r="L29">
        <v>0</v>
      </c>
      <c r="M29">
        <v>847</v>
      </c>
    </row>
    <row r="30" spans="1:13">
      <c r="A30" t="s">
        <v>17</v>
      </c>
      <c r="B30">
        <v>63</v>
      </c>
      <c r="C30">
        <v>59</v>
      </c>
      <c r="D30">
        <v>-4</v>
      </c>
      <c r="E30" t="s">
        <v>386</v>
      </c>
      <c r="F30" t="s">
        <v>389</v>
      </c>
      <c r="G30" t="s">
        <v>390</v>
      </c>
      <c r="H30" t="s">
        <v>387</v>
      </c>
      <c r="I30">
        <v>8631</v>
      </c>
      <c r="J30">
        <v>9</v>
      </c>
      <c r="K30">
        <v>9</v>
      </c>
      <c r="L30">
        <v>0</v>
      </c>
      <c r="M30">
        <v>517</v>
      </c>
    </row>
    <row r="31" spans="1:13">
      <c r="A31" t="s">
        <v>17</v>
      </c>
      <c r="B31">
        <v>55</v>
      </c>
      <c r="C31">
        <v>51</v>
      </c>
      <c r="D31">
        <v>-4</v>
      </c>
      <c r="E31" t="s">
        <v>340</v>
      </c>
      <c r="F31" t="s">
        <v>343</v>
      </c>
      <c r="G31" t="s">
        <v>344</v>
      </c>
      <c r="H31" t="s">
        <v>341</v>
      </c>
      <c r="I31">
        <v>55747</v>
      </c>
      <c r="J31">
        <v>11</v>
      </c>
      <c r="K31">
        <v>11</v>
      </c>
      <c r="L31">
        <v>0</v>
      </c>
      <c r="M31">
        <v>1188</v>
      </c>
    </row>
    <row r="32" spans="1:13">
      <c r="A32" t="s">
        <v>608</v>
      </c>
      <c r="B32">
        <v>47</v>
      </c>
      <c r="C32">
        <v>43</v>
      </c>
      <c r="D32">
        <v>-4</v>
      </c>
      <c r="E32" t="s">
        <v>880</v>
      </c>
      <c r="F32" t="s">
        <v>883</v>
      </c>
      <c r="G32" t="s">
        <v>884</v>
      </c>
      <c r="H32" t="s">
        <v>881</v>
      </c>
      <c r="I32">
        <v>769</v>
      </c>
      <c r="J32">
        <v>18</v>
      </c>
      <c r="K32">
        <v>18</v>
      </c>
      <c r="L32">
        <v>0</v>
      </c>
      <c r="M32">
        <v>25</v>
      </c>
    </row>
    <row r="33" spans="1:13">
      <c r="A33" t="s">
        <v>17</v>
      </c>
      <c r="B33">
        <v>89</v>
      </c>
      <c r="C33">
        <v>85</v>
      </c>
      <c r="D33">
        <v>-4</v>
      </c>
      <c r="E33" t="s">
        <v>538</v>
      </c>
      <c r="F33" t="s">
        <v>541</v>
      </c>
      <c r="G33" t="s">
        <v>542</v>
      </c>
      <c r="H33" t="s">
        <v>539</v>
      </c>
      <c r="I33">
        <v>236</v>
      </c>
      <c r="J33">
        <v>2</v>
      </c>
      <c r="K33">
        <v>2</v>
      </c>
      <c r="L33">
        <v>1</v>
      </c>
      <c r="M33">
        <v>27</v>
      </c>
    </row>
    <row r="34" spans="1:13">
      <c r="A34" t="s">
        <v>608</v>
      </c>
      <c r="B34">
        <v>74</v>
      </c>
      <c r="C34">
        <v>70</v>
      </c>
      <c r="D34">
        <v>-4</v>
      </c>
      <c r="E34" t="s">
        <v>1035</v>
      </c>
      <c r="F34" t="s">
        <v>1038</v>
      </c>
      <c r="G34" t="s">
        <v>1039</v>
      </c>
      <c r="H34" t="s">
        <v>1036</v>
      </c>
      <c r="I34">
        <v>440</v>
      </c>
      <c r="J34">
        <v>16</v>
      </c>
      <c r="K34">
        <v>16</v>
      </c>
      <c r="L34">
        <v>1</v>
      </c>
      <c r="M34">
        <v>24</v>
      </c>
    </row>
    <row r="35" spans="1:13">
      <c r="A35" t="s">
        <v>608</v>
      </c>
      <c r="B35">
        <v>92</v>
      </c>
      <c r="C35">
        <v>88</v>
      </c>
      <c r="D35">
        <v>-4</v>
      </c>
      <c r="E35" t="s">
        <v>1136</v>
      </c>
      <c r="F35" t="s">
        <v>1139</v>
      </c>
      <c r="G35" t="s">
        <v>1140</v>
      </c>
      <c r="H35" t="s">
        <v>1137</v>
      </c>
      <c r="I35">
        <v>28194</v>
      </c>
      <c r="J35">
        <v>12</v>
      </c>
      <c r="K35">
        <v>12</v>
      </c>
      <c r="L35">
        <v>0</v>
      </c>
      <c r="M35">
        <v>209</v>
      </c>
    </row>
    <row r="36" spans="1:13">
      <c r="A36" t="s">
        <v>608</v>
      </c>
      <c r="B36">
        <v>67</v>
      </c>
      <c r="C36">
        <v>63</v>
      </c>
      <c r="D36">
        <v>-4</v>
      </c>
      <c r="E36" t="s">
        <v>995</v>
      </c>
      <c r="F36" t="s">
        <v>998</v>
      </c>
      <c r="G36" t="s">
        <v>999</v>
      </c>
      <c r="H36" t="s">
        <v>996</v>
      </c>
      <c r="I36">
        <v>479</v>
      </c>
      <c r="J36">
        <v>17</v>
      </c>
      <c r="K36">
        <v>17</v>
      </c>
      <c r="L36">
        <v>0</v>
      </c>
      <c r="M36">
        <v>13</v>
      </c>
    </row>
    <row r="37" spans="1:13">
      <c r="A37" t="s">
        <v>608</v>
      </c>
      <c r="B37">
        <v>89</v>
      </c>
      <c r="C37">
        <v>86</v>
      </c>
      <c r="D37">
        <v>-3</v>
      </c>
      <c r="E37" t="s">
        <v>1120</v>
      </c>
      <c r="F37" t="s">
        <v>1122</v>
      </c>
      <c r="G37" t="s">
        <v>1123</v>
      </c>
      <c r="H37" t="s">
        <v>628</v>
      </c>
      <c r="I37">
        <v>2481</v>
      </c>
      <c r="J37">
        <v>9</v>
      </c>
      <c r="K37">
        <v>9</v>
      </c>
      <c r="L37">
        <v>1</v>
      </c>
      <c r="M37">
        <v>116</v>
      </c>
    </row>
    <row r="38" spans="1:13">
      <c r="A38" t="s">
        <v>17</v>
      </c>
      <c r="B38">
        <v>19</v>
      </c>
      <c r="C38">
        <v>16</v>
      </c>
      <c r="D38">
        <v>-3</v>
      </c>
      <c r="E38" t="s">
        <v>128</v>
      </c>
      <c r="F38" t="s">
        <v>131</v>
      </c>
      <c r="G38" t="s">
        <v>132</v>
      </c>
      <c r="H38" t="s">
        <v>129</v>
      </c>
      <c r="I38">
        <v>7782</v>
      </c>
      <c r="J38">
        <v>21</v>
      </c>
      <c r="K38">
        <v>21</v>
      </c>
      <c r="L38">
        <v>1</v>
      </c>
      <c r="M38">
        <v>48</v>
      </c>
    </row>
    <row r="39" spans="1:13">
      <c r="A39" t="s">
        <v>17</v>
      </c>
      <c r="B39">
        <v>59</v>
      </c>
      <c r="C39">
        <v>56</v>
      </c>
      <c r="D39">
        <v>-3</v>
      </c>
      <c r="E39" t="s">
        <v>364</v>
      </c>
      <c r="F39" t="s">
        <v>366</v>
      </c>
      <c r="G39" t="s">
        <v>367</v>
      </c>
      <c r="H39" t="s">
        <v>153</v>
      </c>
      <c r="I39">
        <v>977</v>
      </c>
      <c r="J39">
        <v>9</v>
      </c>
      <c r="K39">
        <v>9</v>
      </c>
      <c r="L39">
        <v>1</v>
      </c>
      <c r="M39">
        <v>37</v>
      </c>
    </row>
    <row r="40" spans="1:13">
      <c r="A40" t="s">
        <v>17</v>
      </c>
      <c r="B40">
        <v>75</v>
      </c>
      <c r="C40">
        <v>72</v>
      </c>
      <c r="D40">
        <v>-3</v>
      </c>
      <c r="E40" t="s">
        <v>456</v>
      </c>
      <c r="F40" t="s">
        <v>459</v>
      </c>
      <c r="G40" t="s">
        <v>460</v>
      </c>
      <c r="H40" t="s">
        <v>457</v>
      </c>
      <c r="I40">
        <v>225</v>
      </c>
      <c r="J40">
        <v>8</v>
      </c>
      <c r="K40">
        <v>8</v>
      </c>
      <c r="L40">
        <v>1</v>
      </c>
      <c r="M40">
        <v>19</v>
      </c>
    </row>
    <row r="41" spans="1:13">
      <c r="A41" t="s">
        <v>608</v>
      </c>
      <c r="B41">
        <v>28</v>
      </c>
      <c r="C41">
        <v>25</v>
      </c>
      <c r="D41">
        <v>-3</v>
      </c>
      <c r="E41" t="s">
        <v>768</v>
      </c>
      <c r="F41" t="s">
        <v>771</v>
      </c>
      <c r="G41" t="s">
        <v>772</v>
      </c>
      <c r="H41" t="s">
        <v>769</v>
      </c>
      <c r="I41">
        <v>1823</v>
      </c>
      <c r="J41">
        <v>13</v>
      </c>
      <c r="K41">
        <v>13</v>
      </c>
      <c r="L41">
        <v>3</v>
      </c>
      <c r="M41">
        <v>27</v>
      </c>
    </row>
    <row r="42" spans="1:13">
      <c r="A42" t="s">
        <v>608</v>
      </c>
      <c r="B42">
        <v>58</v>
      </c>
      <c r="C42">
        <v>55</v>
      </c>
      <c r="D42">
        <v>-3</v>
      </c>
      <c r="E42" t="s">
        <v>944</v>
      </c>
      <c r="F42" t="s">
        <v>946</v>
      </c>
      <c r="G42" t="s">
        <v>947</v>
      </c>
      <c r="H42" t="s">
        <v>763</v>
      </c>
      <c r="I42">
        <v>762</v>
      </c>
      <c r="J42">
        <v>3</v>
      </c>
      <c r="K42">
        <v>3</v>
      </c>
      <c r="L42">
        <v>0</v>
      </c>
      <c r="M42">
        <v>20</v>
      </c>
    </row>
    <row r="43" spans="1:13">
      <c r="A43" t="s">
        <v>608</v>
      </c>
      <c r="B43">
        <v>30</v>
      </c>
      <c r="C43">
        <v>27</v>
      </c>
      <c r="D43">
        <v>-3</v>
      </c>
      <c r="E43" t="s">
        <v>780</v>
      </c>
      <c r="F43" t="s">
        <v>783</v>
      </c>
      <c r="G43" t="s">
        <v>784</v>
      </c>
      <c r="H43" t="s">
        <v>781</v>
      </c>
      <c r="I43">
        <v>3277</v>
      </c>
      <c r="J43">
        <v>25</v>
      </c>
      <c r="K43">
        <v>25</v>
      </c>
      <c r="L43">
        <v>1</v>
      </c>
      <c r="M43">
        <v>58</v>
      </c>
    </row>
    <row r="44" spans="1:13">
      <c r="A44" t="s">
        <v>17</v>
      </c>
      <c r="B44">
        <v>28</v>
      </c>
      <c r="C44">
        <v>25</v>
      </c>
      <c r="D44">
        <v>-3</v>
      </c>
      <c r="E44" t="s">
        <v>181</v>
      </c>
      <c r="F44" t="s">
        <v>184</v>
      </c>
      <c r="G44" t="s">
        <v>185</v>
      </c>
      <c r="H44" t="s">
        <v>182</v>
      </c>
      <c r="I44">
        <v>693</v>
      </c>
      <c r="J44">
        <v>26</v>
      </c>
      <c r="K44">
        <v>26</v>
      </c>
      <c r="L44">
        <v>2</v>
      </c>
      <c r="M44">
        <v>21</v>
      </c>
    </row>
    <row r="45" spans="1:13">
      <c r="A45" t="s">
        <v>17</v>
      </c>
      <c r="B45">
        <v>52</v>
      </c>
      <c r="C45">
        <v>49</v>
      </c>
      <c r="D45">
        <v>-3</v>
      </c>
      <c r="E45" t="s">
        <v>322</v>
      </c>
      <c r="F45" t="s">
        <v>325</v>
      </c>
      <c r="G45" t="s">
        <v>326</v>
      </c>
      <c r="H45" t="s">
        <v>323</v>
      </c>
      <c r="I45">
        <v>320</v>
      </c>
      <c r="J45">
        <v>8</v>
      </c>
      <c r="K45">
        <v>8</v>
      </c>
      <c r="L45">
        <v>1</v>
      </c>
      <c r="M45">
        <v>17</v>
      </c>
    </row>
    <row r="46" spans="1:13">
      <c r="A46" t="s">
        <v>17</v>
      </c>
      <c r="B46">
        <v>85</v>
      </c>
      <c r="C46">
        <v>82</v>
      </c>
      <c r="D46">
        <v>-3</v>
      </c>
      <c r="E46" t="s">
        <v>515</v>
      </c>
      <c r="F46" t="s">
        <v>517</v>
      </c>
      <c r="G46" t="s">
        <v>518</v>
      </c>
      <c r="H46" t="s">
        <v>288</v>
      </c>
      <c r="I46">
        <v>531</v>
      </c>
      <c r="J46">
        <v>9</v>
      </c>
      <c r="K46">
        <v>9</v>
      </c>
      <c r="L46">
        <v>1</v>
      </c>
      <c r="M46">
        <v>23</v>
      </c>
    </row>
    <row r="47" spans="1:13">
      <c r="A47" t="s">
        <v>17</v>
      </c>
      <c r="B47">
        <v>94</v>
      </c>
      <c r="C47">
        <v>91</v>
      </c>
      <c r="D47">
        <v>-3</v>
      </c>
      <c r="E47" t="s">
        <v>566</v>
      </c>
      <c r="F47" t="s">
        <v>569</v>
      </c>
      <c r="G47" t="s">
        <v>570</v>
      </c>
      <c r="H47" t="s">
        <v>567</v>
      </c>
      <c r="I47">
        <v>381</v>
      </c>
      <c r="J47">
        <v>14</v>
      </c>
      <c r="K47">
        <v>14</v>
      </c>
      <c r="L47">
        <v>0</v>
      </c>
      <c r="M47">
        <v>33</v>
      </c>
    </row>
    <row r="48" spans="1:13">
      <c r="A48" t="s">
        <v>17</v>
      </c>
      <c r="B48">
        <v>33</v>
      </c>
      <c r="C48">
        <v>30</v>
      </c>
      <c r="D48">
        <v>-3</v>
      </c>
      <c r="E48" t="s">
        <v>210</v>
      </c>
      <c r="F48" t="s">
        <v>213</v>
      </c>
      <c r="G48" t="s">
        <v>214</v>
      </c>
      <c r="H48" t="s">
        <v>211</v>
      </c>
      <c r="I48">
        <v>1497</v>
      </c>
      <c r="J48">
        <v>14</v>
      </c>
      <c r="K48">
        <v>14</v>
      </c>
      <c r="L48">
        <v>1</v>
      </c>
      <c r="M48">
        <v>38</v>
      </c>
    </row>
    <row r="49" spans="1:13">
      <c r="A49" t="s">
        <v>608</v>
      </c>
      <c r="B49">
        <v>83</v>
      </c>
      <c r="C49">
        <v>81</v>
      </c>
      <c r="D49">
        <v>-2</v>
      </c>
      <c r="E49" t="s">
        <v>1086</v>
      </c>
      <c r="F49" t="s">
        <v>1088</v>
      </c>
      <c r="G49" t="s">
        <v>1089</v>
      </c>
      <c r="H49" t="s">
        <v>567</v>
      </c>
      <c r="I49">
        <v>762</v>
      </c>
      <c r="J49">
        <v>6</v>
      </c>
      <c r="K49">
        <v>6</v>
      </c>
      <c r="L49">
        <v>2</v>
      </c>
      <c r="M49">
        <v>35</v>
      </c>
    </row>
    <row r="50" spans="1:13">
      <c r="A50" t="s">
        <v>17</v>
      </c>
      <c r="B50">
        <v>23</v>
      </c>
      <c r="C50">
        <v>21</v>
      </c>
      <c r="D50">
        <v>-2</v>
      </c>
      <c r="E50" t="s">
        <v>152</v>
      </c>
      <c r="F50" t="s">
        <v>155</v>
      </c>
      <c r="G50" t="s">
        <v>156</v>
      </c>
      <c r="H50" t="s">
        <v>153</v>
      </c>
      <c r="I50">
        <v>840</v>
      </c>
      <c r="J50">
        <v>39</v>
      </c>
      <c r="K50">
        <v>39</v>
      </c>
      <c r="L50">
        <v>1</v>
      </c>
      <c r="M50">
        <v>19</v>
      </c>
    </row>
    <row r="51" spans="1:13">
      <c r="A51" t="s">
        <v>17</v>
      </c>
      <c r="B51">
        <v>66</v>
      </c>
      <c r="C51">
        <v>64</v>
      </c>
      <c r="D51">
        <v>-2</v>
      </c>
      <c r="E51" t="s">
        <v>404</v>
      </c>
      <c r="F51" t="s">
        <v>406</v>
      </c>
      <c r="G51" t="s">
        <v>407</v>
      </c>
      <c r="H51" t="s">
        <v>270</v>
      </c>
      <c r="I51">
        <v>2868</v>
      </c>
      <c r="J51">
        <v>8</v>
      </c>
      <c r="K51">
        <v>8</v>
      </c>
      <c r="L51">
        <v>1</v>
      </c>
      <c r="M51">
        <v>68</v>
      </c>
    </row>
    <row r="52" spans="1:13">
      <c r="A52" t="s">
        <v>17</v>
      </c>
      <c r="B52">
        <v>96</v>
      </c>
      <c r="C52">
        <v>94</v>
      </c>
      <c r="D52">
        <v>-2</v>
      </c>
      <c r="E52" t="s">
        <v>578</v>
      </c>
      <c r="F52" t="s">
        <v>581</v>
      </c>
      <c r="G52" t="s">
        <v>582</v>
      </c>
      <c r="H52" t="s">
        <v>579</v>
      </c>
      <c r="I52">
        <v>1481</v>
      </c>
      <c r="J52">
        <v>6</v>
      </c>
      <c r="K52">
        <v>6</v>
      </c>
      <c r="L52">
        <v>1</v>
      </c>
      <c r="M52">
        <v>99</v>
      </c>
    </row>
    <row r="53" spans="1:13">
      <c r="A53" t="s">
        <v>608</v>
      </c>
      <c r="B53">
        <v>32</v>
      </c>
      <c r="C53">
        <v>30</v>
      </c>
      <c r="D53">
        <v>-2</v>
      </c>
      <c r="E53" t="s">
        <v>792</v>
      </c>
      <c r="F53" t="s">
        <v>795</v>
      </c>
      <c r="G53" t="s">
        <v>796</v>
      </c>
      <c r="H53" t="s">
        <v>793</v>
      </c>
      <c r="I53">
        <v>1652</v>
      </c>
      <c r="J53">
        <v>53</v>
      </c>
      <c r="K53">
        <v>53</v>
      </c>
      <c r="L53">
        <v>1</v>
      </c>
      <c r="M53">
        <v>33</v>
      </c>
    </row>
    <row r="54" spans="1:13">
      <c r="A54" t="s">
        <v>608</v>
      </c>
      <c r="B54">
        <v>51</v>
      </c>
      <c r="C54">
        <v>49</v>
      </c>
      <c r="D54">
        <v>-2</v>
      </c>
      <c r="E54" t="s">
        <v>902</v>
      </c>
      <c r="F54" t="s">
        <v>905</v>
      </c>
      <c r="G54" t="s">
        <v>906</v>
      </c>
      <c r="H54" t="s">
        <v>903</v>
      </c>
      <c r="I54">
        <v>325</v>
      </c>
      <c r="J54">
        <v>6</v>
      </c>
      <c r="K54">
        <v>6</v>
      </c>
      <c r="L54">
        <v>0</v>
      </c>
      <c r="M54">
        <v>5</v>
      </c>
    </row>
    <row r="55" spans="1:13">
      <c r="A55" t="s">
        <v>608</v>
      </c>
      <c r="B55">
        <v>13</v>
      </c>
      <c r="C55">
        <v>11</v>
      </c>
      <c r="D55">
        <v>-2</v>
      </c>
      <c r="E55" t="s">
        <v>679</v>
      </c>
      <c r="F55" t="s">
        <v>682</v>
      </c>
      <c r="G55" t="s">
        <v>683</v>
      </c>
      <c r="H55" t="s">
        <v>680</v>
      </c>
      <c r="I55">
        <v>1278</v>
      </c>
      <c r="J55">
        <v>66</v>
      </c>
      <c r="K55">
        <v>66</v>
      </c>
      <c r="L55">
        <v>0</v>
      </c>
      <c r="M55">
        <v>9</v>
      </c>
    </row>
    <row r="56" spans="1:13">
      <c r="A56" t="s">
        <v>608</v>
      </c>
      <c r="B56">
        <v>12</v>
      </c>
      <c r="C56">
        <v>10</v>
      </c>
      <c r="D56">
        <v>-2</v>
      </c>
      <c r="E56" t="s">
        <v>673</v>
      </c>
      <c r="F56" t="s">
        <v>676</v>
      </c>
      <c r="G56" t="s">
        <v>677</v>
      </c>
      <c r="H56" t="s">
        <v>674</v>
      </c>
      <c r="I56">
        <v>2610</v>
      </c>
      <c r="J56">
        <v>81</v>
      </c>
      <c r="K56">
        <v>81</v>
      </c>
      <c r="L56">
        <v>2</v>
      </c>
      <c r="M56">
        <v>29</v>
      </c>
    </row>
    <row r="57" spans="1:13">
      <c r="A57" t="s">
        <v>608</v>
      </c>
      <c r="B57">
        <v>3</v>
      </c>
      <c r="C57">
        <v>1</v>
      </c>
      <c r="D57">
        <v>-2</v>
      </c>
      <c r="E57" t="s">
        <v>621</v>
      </c>
      <c r="F57" t="s">
        <v>624</v>
      </c>
      <c r="G57" t="s">
        <v>625</v>
      </c>
      <c r="H57" t="s">
        <v>622</v>
      </c>
      <c r="I57">
        <v>7563</v>
      </c>
      <c r="J57">
        <v>161</v>
      </c>
      <c r="K57">
        <v>161</v>
      </c>
      <c r="L57">
        <v>2</v>
      </c>
      <c r="M57">
        <v>27</v>
      </c>
    </row>
    <row r="58" spans="1:13">
      <c r="A58" t="s">
        <v>608</v>
      </c>
      <c r="B58">
        <v>79</v>
      </c>
      <c r="C58">
        <v>77</v>
      </c>
      <c r="D58">
        <v>-2</v>
      </c>
      <c r="E58" t="s">
        <v>1062</v>
      </c>
      <c r="F58" t="s">
        <v>1065</v>
      </c>
      <c r="G58" t="s">
        <v>1066</v>
      </c>
      <c r="H58" t="s">
        <v>1063</v>
      </c>
      <c r="I58">
        <v>383</v>
      </c>
      <c r="J58">
        <v>19</v>
      </c>
      <c r="K58">
        <v>19</v>
      </c>
      <c r="L58">
        <v>1</v>
      </c>
      <c r="M58">
        <v>20</v>
      </c>
    </row>
    <row r="59" spans="1:13">
      <c r="A59" t="s">
        <v>608</v>
      </c>
      <c r="B59">
        <v>26</v>
      </c>
      <c r="C59">
        <v>24</v>
      </c>
      <c r="D59">
        <v>-2</v>
      </c>
      <c r="E59" t="s">
        <v>756</v>
      </c>
      <c r="F59" t="s">
        <v>759</v>
      </c>
      <c r="G59" t="s">
        <v>760</v>
      </c>
      <c r="H59" t="s">
        <v>757</v>
      </c>
      <c r="I59">
        <v>19391</v>
      </c>
      <c r="J59">
        <v>45</v>
      </c>
      <c r="K59">
        <v>45</v>
      </c>
      <c r="L59">
        <v>0</v>
      </c>
      <c r="M59">
        <v>41</v>
      </c>
    </row>
    <row r="60" spans="1:13">
      <c r="A60" t="s">
        <v>17</v>
      </c>
      <c r="B60">
        <v>54</v>
      </c>
      <c r="C60">
        <v>52</v>
      </c>
      <c r="D60">
        <v>-2</v>
      </c>
      <c r="E60" t="s">
        <v>334</v>
      </c>
      <c r="F60" t="s">
        <v>337</v>
      </c>
      <c r="G60" t="s">
        <v>338</v>
      </c>
      <c r="H60" t="s">
        <v>335</v>
      </c>
      <c r="I60">
        <v>320</v>
      </c>
      <c r="J60">
        <v>9</v>
      </c>
      <c r="K60">
        <v>9</v>
      </c>
      <c r="L60">
        <v>0</v>
      </c>
      <c r="M60">
        <v>22</v>
      </c>
    </row>
    <row r="61" spans="1:13">
      <c r="A61" t="s">
        <v>17</v>
      </c>
      <c r="B61">
        <v>77</v>
      </c>
      <c r="C61">
        <v>75</v>
      </c>
      <c r="D61">
        <v>-2</v>
      </c>
      <c r="E61" t="s">
        <v>468</v>
      </c>
      <c r="F61" t="s">
        <v>471</v>
      </c>
      <c r="G61" t="s">
        <v>472</v>
      </c>
      <c r="H61" t="s">
        <v>469</v>
      </c>
      <c r="I61">
        <v>4617</v>
      </c>
      <c r="J61">
        <v>12</v>
      </c>
      <c r="K61">
        <v>12</v>
      </c>
      <c r="L61">
        <v>1</v>
      </c>
      <c r="M61">
        <v>337</v>
      </c>
    </row>
    <row r="62" spans="1:13">
      <c r="A62" t="s">
        <v>17</v>
      </c>
      <c r="B62">
        <v>20</v>
      </c>
      <c r="C62">
        <v>19</v>
      </c>
      <c r="D62">
        <v>-1</v>
      </c>
      <c r="E62" t="s">
        <v>134</v>
      </c>
      <c r="F62" t="s">
        <v>137</v>
      </c>
      <c r="G62" t="s">
        <v>138</v>
      </c>
      <c r="H62" t="s">
        <v>135</v>
      </c>
      <c r="I62">
        <v>731</v>
      </c>
      <c r="J62">
        <v>34</v>
      </c>
      <c r="K62">
        <v>34</v>
      </c>
      <c r="L62">
        <v>1</v>
      </c>
      <c r="M62">
        <v>21</v>
      </c>
    </row>
    <row r="63" spans="1:13">
      <c r="A63" t="s">
        <v>17</v>
      </c>
      <c r="B63">
        <v>15</v>
      </c>
      <c r="C63">
        <v>14</v>
      </c>
      <c r="D63">
        <v>-1</v>
      </c>
      <c r="E63" t="s">
        <v>105</v>
      </c>
      <c r="F63" t="s">
        <v>108</v>
      </c>
      <c r="G63" t="s">
        <v>109</v>
      </c>
      <c r="H63" t="s">
        <v>106</v>
      </c>
      <c r="I63">
        <v>554</v>
      </c>
      <c r="J63">
        <v>34</v>
      </c>
      <c r="K63">
        <v>34</v>
      </c>
      <c r="L63">
        <v>0</v>
      </c>
      <c r="M63">
        <v>12</v>
      </c>
    </row>
    <row r="64" spans="1:13">
      <c r="A64" t="s">
        <v>17</v>
      </c>
      <c r="B64">
        <v>44</v>
      </c>
      <c r="C64">
        <v>43</v>
      </c>
      <c r="D64">
        <v>-1</v>
      </c>
      <c r="E64" t="s">
        <v>275</v>
      </c>
      <c r="F64" t="s">
        <v>278</v>
      </c>
      <c r="G64" t="s">
        <v>279</v>
      </c>
      <c r="H64" t="s">
        <v>276</v>
      </c>
      <c r="I64">
        <v>1372</v>
      </c>
      <c r="J64">
        <v>38</v>
      </c>
      <c r="K64">
        <v>38</v>
      </c>
      <c r="L64">
        <v>4</v>
      </c>
      <c r="M64">
        <v>43</v>
      </c>
    </row>
    <row r="65" spans="1:13">
      <c r="A65" t="s">
        <v>17</v>
      </c>
      <c r="B65">
        <v>81</v>
      </c>
      <c r="C65">
        <v>80</v>
      </c>
      <c r="D65">
        <v>-1</v>
      </c>
      <c r="E65" t="s">
        <v>491</v>
      </c>
      <c r="F65" t="s">
        <v>494</v>
      </c>
      <c r="G65" t="s">
        <v>495</v>
      </c>
      <c r="H65" t="s">
        <v>492</v>
      </c>
      <c r="I65">
        <v>1001</v>
      </c>
      <c r="J65">
        <v>15</v>
      </c>
      <c r="K65">
        <v>15</v>
      </c>
      <c r="L65">
        <v>1</v>
      </c>
      <c r="M65">
        <v>58</v>
      </c>
    </row>
    <row r="66" spans="1:13">
      <c r="A66" t="s">
        <v>608</v>
      </c>
      <c r="B66">
        <v>73</v>
      </c>
      <c r="C66">
        <v>72</v>
      </c>
      <c r="D66">
        <v>-1</v>
      </c>
      <c r="E66" t="s">
        <v>1030</v>
      </c>
      <c r="F66" t="s">
        <v>1032</v>
      </c>
      <c r="G66" t="s">
        <v>1033</v>
      </c>
      <c r="H66" t="s">
        <v>135</v>
      </c>
      <c r="I66">
        <v>913</v>
      </c>
      <c r="J66">
        <v>9</v>
      </c>
      <c r="K66">
        <v>9</v>
      </c>
      <c r="L66">
        <v>1</v>
      </c>
      <c r="M66">
        <v>35</v>
      </c>
    </row>
    <row r="67" spans="1:13">
      <c r="A67" t="s">
        <v>608</v>
      </c>
      <c r="B67">
        <v>60</v>
      </c>
      <c r="C67">
        <v>59</v>
      </c>
      <c r="D67">
        <v>-1</v>
      </c>
      <c r="E67" t="s">
        <v>954</v>
      </c>
      <c r="F67" t="s">
        <v>957</v>
      </c>
      <c r="G67" t="s">
        <v>958</v>
      </c>
      <c r="H67" t="s">
        <v>955</v>
      </c>
      <c r="I67">
        <v>12573</v>
      </c>
      <c r="J67">
        <v>23</v>
      </c>
      <c r="K67">
        <v>23</v>
      </c>
      <c r="L67">
        <v>0</v>
      </c>
      <c r="M67">
        <v>15</v>
      </c>
    </row>
    <row r="68" spans="1:13">
      <c r="A68" t="s">
        <v>608</v>
      </c>
      <c r="B68">
        <v>9</v>
      </c>
      <c r="C68">
        <v>8</v>
      </c>
      <c r="D68">
        <v>-1</v>
      </c>
      <c r="E68" t="s">
        <v>655</v>
      </c>
      <c r="F68" t="s">
        <v>658</v>
      </c>
      <c r="G68" t="s">
        <v>659</v>
      </c>
      <c r="H68" t="s">
        <v>656</v>
      </c>
      <c r="I68">
        <v>3597</v>
      </c>
      <c r="J68">
        <v>157</v>
      </c>
      <c r="K68">
        <v>157</v>
      </c>
      <c r="L68">
        <v>1</v>
      </c>
      <c r="M68">
        <v>26</v>
      </c>
    </row>
    <row r="69" spans="1:13">
      <c r="A69" t="s">
        <v>608</v>
      </c>
      <c r="B69">
        <v>69</v>
      </c>
      <c r="C69">
        <v>68</v>
      </c>
      <c r="D69">
        <v>-1</v>
      </c>
      <c r="E69" t="s">
        <v>1007</v>
      </c>
      <c r="F69" t="s">
        <v>1010</v>
      </c>
      <c r="G69" t="s">
        <v>1011</v>
      </c>
      <c r="H69" t="s">
        <v>1008</v>
      </c>
      <c r="I69">
        <v>2822</v>
      </c>
      <c r="J69">
        <v>13</v>
      </c>
      <c r="K69">
        <v>13</v>
      </c>
      <c r="L69">
        <v>1</v>
      </c>
      <c r="M69">
        <v>64</v>
      </c>
    </row>
    <row r="70" spans="1:13">
      <c r="A70" t="s">
        <v>608</v>
      </c>
      <c r="B70">
        <v>15</v>
      </c>
      <c r="C70">
        <v>14</v>
      </c>
      <c r="D70">
        <v>-1</v>
      </c>
      <c r="E70" t="s">
        <v>691</v>
      </c>
      <c r="F70" t="s">
        <v>694</v>
      </c>
      <c r="G70" t="s">
        <v>695</v>
      </c>
      <c r="H70" t="s">
        <v>692</v>
      </c>
      <c r="I70">
        <v>18723</v>
      </c>
      <c r="J70">
        <v>93</v>
      </c>
      <c r="K70">
        <v>93</v>
      </c>
      <c r="L70">
        <v>1</v>
      </c>
      <c r="M70">
        <v>70</v>
      </c>
    </row>
    <row r="71" spans="1:13">
      <c r="A71" t="s">
        <v>17</v>
      </c>
      <c r="B71">
        <v>21</v>
      </c>
      <c r="C71">
        <v>20</v>
      </c>
      <c r="D71">
        <v>-1</v>
      </c>
      <c r="E71" t="s">
        <v>140</v>
      </c>
      <c r="F71" t="s">
        <v>143</v>
      </c>
      <c r="G71" t="s">
        <v>144</v>
      </c>
      <c r="H71" t="s">
        <v>141</v>
      </c>
      <c r="I71">
        <v>418</v>
      </c>
      <c r="J71">
        <v>21</v>
      </c>
      <c r="K71">
        <v>21</v>
      </c>
      <c r="L71">
        <v>2</v>
      </c>
      <c r="M71">
        <v>16</v>
      </c>
    </row>
    <row r="72" spans="1:13">
      <c r="A72" t="s">
        <v>17</v>
      </c>
      <c r="B72">
        <v>4</v>
      </c>
      <c r="C72">
        <v>3</v>
      </c>
      <c r="D72">
        <v>-1</v>
      </c>
      <c r="E72" t="s">
        <v>38</v>
      </c>
      <c r="F72" t="s">
        <v>41</v>
      </c>
      <c r="G72" t="s">
        <v>42</v>
      </c>
      <c r="H72" t="s">
        <v>39</v>
      </c>
      <c r="I72">
        <v>2394</v>
      </c>
      <c r="J72">
        <v>196</v>
      </c>
      <c r="K72">
        <v>196</v>
      </c>
      <c r="L72">
        <v>3</v>
      </c>
      <c r="M72">
        <v>18</v>
      </c>
    </row>
    <row r="73" spans="1:13">
      <c r="A73" t="s">
        <v>17</v>
      </c>
      <c r="B73">
        <v>37</v>
      </c>
      <c r="C73">
        <v>36</v>
      </c>
      <c r="D73">
        <v>-1</v>
      </c>
      <c r="E73" t="s">
        <v>234</v>
      </c>
      <c r="F73" t="s">
        <v>237</v>
      </c>
      <c r="G73" t="s">
        <v>238</v>
      </c>
      <c r="H73" t="s">
        <v>235</v>
      </c>
      <c r="I73">
        <v>25341</v>
      </c>
      <c r="J73">
        <v>21</v>
      </c>
      <c r="K73">
        <v>21</v>
      </c>
      <c r="L73">
        <v>0</v>
      </c>
      <c r="M73">
        <v>288</v>
      </c>
    </row>
    <row r="74" spans="1:13">
      <c r="A74" t="s">
        <v>17</v>
      </c>
      <c r="B74">
        <v>46</v>
      </c>
      <c r="C74">
        <v>45</v>
      </c>
      <c r="D74">
        <v>-1</v>
      </c>
      <c r="E74" t="s">
        <v>287</v>
      </c>
      <c r="F74" t="s">
        <v>290</v>
      </c>
      <c r="G74" t="s">
        <v>291</v>
      </c>
      <c r="H74" t="s">
        <v>288</v>
      </c>
      <c r="I74">
        <v>226</v>
      </c>
      <c r="J74">
        <v>14</v>
      </c>
      <c r="K74">
        <v>14</v>
      </c>
      <c r="L74">
        <v>1</v>
      </c>
      <c r="M74">
        <v>9</v>
      </c>
    </row>
    <row r="75" spans="1:13">
      <c r="A75" t="s">
        <v>17</v>
      </c>
      <c r="B75">
        <v>18</v>
      </c>
      <c r="C75">
        <v>17</v>
      </c>
      <c r="D75">
        <v>-1</v>
      </c>
      <c r="E75" t="s">
        <v>122</v>
      </c>
      <c r="F75" t="s">
        <v>125</v>
      </c>
      <c r="G75" t="s">
        <v>126</v>
      </c>
      <c r="H75" t="s">
        <v>123</v>
      </c>
      <c r="I75">
        <v>665</v>
      </c>
      <c r="J75">
        <v>28</v>
      </c>
      <c r="K75">
        <v>28</v>
      </c>
      <c r="L75">
        <v>1</v>
      </c>
      <c r="M75">
        <v>15</v>
      </c>
    </row>
    <row r="76" spans="1:13">
      <c r="A76" t="s">
        <v>17</v>
      </c>
      <c r="B76">
        <v>48</v>
      </c>
      <c r="C76">
        <v>47</v>
      </c>
      <c r="D76">
        <v>-1</v>
      </c>
      <c r="E76" t="s">
        <v>299</v>
      </c>
      <c r="F76" t="s">
        <v>302</v>
      </c>
      <c r="G76" t="s">
        <v>303</v>
      </c>
      <c r="H76" t="s">
        <v>300</v>
      </c>
      <c r="I76">
        <v>13890</v>
      </c>
      <c r="J76">
        <v>8</v>
      </c>
      <c r="K76">
        <v>8</v>
      </c>
      <c r="L76">
        <v>0</v>
      </c>
      <c r="M76">
        <v>68</v>
      </c>
    </row>
    <row r="77" spans="1:13">
      <c r="A77" t="s">
        <v>17</v>
      </c>
      <c r="B77">
        <v>98</v>
      </c>
      <c r="C77">
        <v>97</v>
      </c>
      <c r="D77">
        <v>-1</v>
      </c>
      <c r="E77" t="s">
        <v>590</v>
      </c>
      <c r="F77" t="s">
        <v>593</v>
      </c>
      <c r="G77" t="s">
        <v>594</v>
      </c>
      <c r="H77" t="s">
        <v>591</v>
      </c>
      <c r="I77">
        <v>46046</v>
      </c>
      <c r="J77">
        <v>3</v>
      </c>
      <c r="K77">
        <v>3</v>
      </c>
      <c r="L77">
        <v>0</v>
      </c>
      <c r="M77">
        <v>572</v>
      </c>
    </row>
    <row r="78" spans="1:13">
      <c r="A78" t="s">
        <v>17</v>
      </c>
      <c r="B78">
        <v>10</v>
      </c>
      <c r="C78">
        <v>9</v>
      </c>
      <c r="D78">
        <v>-1</v>
      </c>
      <c r="E78" t="s">
        <v>75</v>
      </c>
      <c r="F78" t="s">
        <v>78</v>
      </c>
      <c r="G78" t="s">
        <v>79</v>
      </c>
      <c r="H78" t="s">
        <v>76</v>
      </c>
      <c r="I78">
        <v>5914</v>
      </c>
      <c r="J78">
        <v>43</v>
      </c>
      <c r="K78">
        <v>43</v>
      </c>
      <c r="L78">
        <v>0</v>
      </c>
      <c r="M78">
        <v>32</v>
      </c>
    </row>
    <row r="79" spans="1:13">
      <c r="A79" t="s">
        <v>608</v>
      </c>
      <c r="B79">
        <v>22</v>
      </c>
      <c r="C79">
        <v>21</v>
      </c>
      <c r="D79">
        <v>-1</v>
      </c>
      <c r="E79" t="s">
        <v>733</v>
      </c>
      <c r="F79" t="s">
        <v>735</v>
      </c>
      <c r="G79" t="s">
        <v>736</v>
      </c>
      <c r="H79" t="s">
        <v>258</v>
      </c>
      <c r="I79">
        <v>2550</v>
      </c>
      <c r="J79">
        <v>36</v>
      </c>
      <c r="K79">
        <v>36</v>
      </c>
      <c r="L79">
        <v>1</v>
      </c>
      <c r="M79">
        <v>27</v>
      </c>
    </row>
    <row r="80" spans="1:13">
      <c r="A80" t="s">
        <v>608</v>
      </c>
      <c r="B80">
        <v>19</v>
      </c>
      <c r="C80">
        <v>18</v>
      </c>
      <c r="D80">
        <v>-1</v>
      </c>
      <c r="E80" t="s">
        <v>715</v>
      </c>
      <c r="F80" t="s">
        <v>718</v>
      </c>
      <c r="G80" t="s">
        <v>719</v>
      </c>
      <c r="H80" t="s">
        <v>716</v>
      </c>
      <c r="I80">
        <v>1532</v>
      </c>
      <c r="J80">
        <v>59</v>
      </c>
      <c r="K80">
        <v>59</v>
      </c>
      <c r="L80">
        <v>1</v>
      </c>
      <c r="M80">
        <v>19</v>
      </c>
    </row>
    <row r="81" spans="1:13">
      <c r="A81" t="s">
        <v>608</v>
      </c>
      <c r="B81">
        <v>33</v>
      </c>
      <c r="C81">
        <v>32</v>
      </c>
      <c r="D81">
        <v>-1</v>
      </c>
      <c r="E81" t="s">
        <v>798</v>
      </c>
      <c r="F81" t="s">
        <v>801</v>
      </c>
      <c r="G81" t="s">
        <v>802</v>
      </c>
      <c r="H81" t="s">
        <v>799</v>
      </c>
      <c r="I81">
        <v>1541</v>
      </c>
      <c r="J81">
        <v>52</v>
      </c>
      <c r="K81">
        <v>52</v>
      </c>
      <c r="L81">
        <v>1</v>
      </c>
      <c r="M81">
        <v>26</v>
      </c>
    </row>
    <row r="82" spans="1:13">
      <c r="A82" t="s">
        <v>608</v>
      </c>
      <c r="B82">
        <v>49</v>
      </c>
      <c r="C82">
        <v>48</v>
      </c>
      <c r="D82">
        <v>-1</v>
      </c>
      <c r="E82" t="s">
        <v>891</v>
      </c>
      <c r="F82" t="s">
        <v>893</v>
      </c>
      <c r="G82" t="s">
        <v>894</v>
      </c>
      <c r="H82" t="s">
        <v>258</v>
      </c>
      <c r="I82">
        <v>294</v>
      </c>
      <c r="J82">
        <v>12</v>
      </c>
      <c r="K82">
        <v>12</v>
      </c>
      <c r="L82">
        <v>0</v>
      </c>
      <c r="M82">
        <v>9</v>
      </c>
    </row>
    <row r="83" spans="1:13">
      <c r="A83" t="s">
        <v>608</v>
      </c>
      <c r="B83">
        <v>99</v>
      </c>
      <c r="C83">
        <v>98</v>
      </c>
      <c r="D83">
        <v>-1</v>
      </c>
      <c r="E83" t="s">
        <v>1177</v>
      </c>
      <c r="F83" t="s">
        <v>1180</v>
      </c>
      <c r="G83" t="s">
        <v>1181</v>
      </c>
      <c r="H83" t="s">
        <v>1178</v>
      </c>
      <c r="I83">
        <v>140</v>
      </c>
      <c r="J83">
        <v>33</v>
      </c>
      <c r="K83">
        <v>33</v>
      </c>
      <c r="L83">
        <v>1</v>
      </c>
      <c r="M83">
        <v>8</v>
      </c>
    </row>
  </sheetData>
  <phoneticPr fontId="1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5"/>
  <sheetViews>
    <sheetView workbookViewId="0"/>
  </sheetViews>
  <sheetFormatPr defaultRowHeight="13.2"/>
  <sheetData>
    <row r="1" spans="1:11">
      <c r="A1" s="1" t="s">
        <v>0</v>
      </c>
      <c r="B1" s="1" t="s">
        <v>1</v>
      </c>
      <c r="C1" s="1" t="s">
        <v>3</v>
      </c>
      <c r="D1" s="1" t="s">
        <v>6</v>
      </c>
      <c r="E1" s="1" t="s">
        <v>1213</v>
      </c>
      <c r="F1" s="1" t="s">
        <v>10</v>
      </c>
      <c r="G1" s="1" t="s">
        <v>11</v>
      </c>
      <c r="H1" s="1" t="s">
        <v>12</v>
      </c>
      <c r="I1" s="1" t="s">
        <v>1215</v>
      </c>
      <c r="J1" s="1" t="s">
        <v>15</v>
      </c>
      <c r="K1" s="1" t="s">
        <v>13</v>
      </c>
    </row>
    <row r="2" spans="1:11">
      <c r="A2" t="s">
        <v>608</v>
      </c>
      <c r="B2">
        <v>1</v>
      </c>
      <c r="C2" t="s">
        <v>609</v>
      </c>
      <c r="D2" t="s">
        <v>612</v>
      </c>
      <c r="E2" t="s">
        <v>613</v>
      </c>
      <c r="F2">
        <v>6553</v>
      </c>
      <c r="G2">
        <v>597</v>
      </c>
      <c r="H2">
        <v>597</v>
      </c>
      <c r="I2">
        <v>10.023505708529211</v>
      </c>
      <c r="J2">
        <v>23</v>
      </c>
      <c r="K2">
        <v>24</v>
      </c>
    </row>
    <row r="3" spans="1:11">
      <c r="A3" t="s">
        <v>17</v>
      </c>
      <c r="B3">
        <v>1</v>
      </c>
      <c r="C3" t="s">
        <v>19</v>
      </c>
      <c r="D3" t="s">
        <v>22</v>
      </c>
      <c r="E3" t="s">
        <v>23</v>
      </c>
      <c r="F3">
        <v>4745</v>
      </c>
      <c r="G3">
        <v>377</v>
      </c>
      <c r="H3">
        <v>377</v>
      </c>
      <c r="I3">
        <v>8.6309523809523814</v>
      </c>
      <c r="J3">
        <v>17</v>
      </c>
      <c r="K3">
        <v>28</v>
      </c>
    </row>
    <row r="4" spans="1:11">
      <c r="A4" t="s">
        <v>608</v>
      </c>
      <c r="B4">
        <v>2</v>
      </c>
      <c r="C4" t="s">
        <v>615</v>
      </c>
      <c r="D4" t="s">
        <v>618</v>
      </c>
      <c r="E4" t="s">
        <v>619</v>
      </c>
      <c r="F4">
        <v>3511</v>
      </c>
      <c r="G4">
        <v>360</v>
      </c>
      <c r="H4">
        <v>360</v>
      </c>
      <c r="I4">
        <v>11.42494446207553</v>
      </c>
      <c r="J4">
        <v>18</v>
      </c>
      <c r="K4">
        <v>89</v>
      </c>
    </row>
    <row r="5" spans="1:11">
      <c r="A5" t="s">
        <v>608</v>
      </c>
      <c r="B5">
        <v>4</v>
      </c>
      <c r="C5" t="s">
        <v>627</v>
      </c>
      <c r="D5" t="s">
        <v>627</v>
      </c>
      <c r="E5" t="s">
        <v>630</v>
      </c>
      <c r="F5">
        <v>11875</v>
      </c>
      <c r="G5">
        <v>245</v>
      </c>
      <c r="H5">
        <v>245</v>
      </c>
      <c r="I5">
        <v>2.1066208082545139</v>
      </c>
      <c r="J5">
        <v>24</v>
      </c>
      <c r="K5">
        <v>100</v>
      </c>
    </row>
    <row r="6" spans="1:11">
      <c r="A6" t="s">
        <v>17</v>
      </c>
      <c r="B6">
        <v>16</v>
      </c>
      <c r="C6" t="s">
        <v>111</v>
      </c>
      <c r="D6" t="s">
        <v>113</v>
      </c>
      <c r="E6" t="s">
        <v>114</v>
      </c>
      <c r="F6">
        <v>2789</v>
      </c>
      <c r="G6">
        <v>233</v>
      </c>
      <c r="H6">
        <v>233</v>
      </c>
      <c r="I6">
        <v>9.1158059467918626</v>
      </c>
      <c r="J6">
        <v>41</v>
      </c>
      <c r="K6">
        <v>70</v>
      </c>
    </row>
    <row r="7" spans="1:11">
      <c r="A7" t="s">
        <v>17</v>
      </c>
      <c r="B7">
        <v>3</v>
      </c>
      <c r="C7" t="s">
        <v>32</v>
      </c>
      <c r="D7" t="s">
        <v>35</v>
      </c>
      <c r="E7" t="s">
        <v>36</v>
      </c>
      <c r="F7">
        <v>3019</v>
      </c>
      <c r="G7">
        <v>231</v>
      </c>
      <c r="H7">
        <v>231</v>
      </c>
      <c r="I7">
        <v>8.2855093256814918</v>
      </c>
      <c r="J7">
        <v>20</v>
      </c>
      <c r="K7">
        <v>25</v>
      </c>
    </row>
    <row r="8" spans="1:11">
      <c r="A8" t="s">
        <v>608</v>
      </c>
      <c r="B8">
        <v>11</v>
      </c>
      <c r="C8" t="s">
        <v>667</v>
      </c>
      <c r="D8" t="s">
        <v>670</v>
      </c>
      <c r="E8" t="s">
        <v>671</v>
      </c>
      <c r="F8">
        <v>1639</v>
      </c>
      <c r="G8">
        <v>218</v>
      </c>
      <c r="H8">
        <v>218</v>
      </c>
      <c r="I8">
        <v>15.34130893736805</v>
      </c>
      <c r="J8">
        <v>17</v>
      </c>
      <c r="K8">
        <v>18</v>
      </c>
    </row>
    <row r="9" spans="1:11">
      <c r="A9" t="s">
        <v>608</v>
      </c>
      <c r="B9">
        <v>10</v>
      </c>
      <c r="C9" t="s">
        <v>661</v>
      </c>
      <c r="D9" t="s">
        <v>664</v>
      </c>
      <c r="E9" t="s">
        <v>665</v>
      </c>
      <c r="F9">
        <v>923</v>
      </c>
      <c r="G9">
        <v>216</v>
      </c>
      <c r="H9">
        <v>216</v>
      </c>
      <c r="I9">
        <v>30.551626591230551</v>
      </c>
      <c r="J9">
        <v>4</v>
      </c>
      <c r="K9">
        <v>18</v>
      </c>
    </row>
    <row r="10" spans="1:11">
      <c r="A10" t="s">
        <v>608</v>
      </c>
      <c r="B10">
        <v>8</v>
      </c>
      <c r="C10" t="s">
        <v>649</v>
      </c>
      <c r="D10" t="s">
        <v>652</v>
      </c>
      <c r="E10" t="s">
        <v>653</v>
      </c>
      <c r="F10">
        <v>1037</v>
      </c>
      <c r="G10">
        <v>214</v>
      </c>
      <c r="H10">
        <v>214</v>
      </c>
      <c r="I10">
        <v>26.002430133657349</v>
      </c>
      <c r="J10">
        <v>6</v>
      </c>
      <c r="K10">
        <v>7</v>
      </c>
    </row>
    <row r="11" spans="1:11">
      <c r="A11" t="s">
        <v>608</v>
      </c>
      <c r="B11">
        <v>6</v>
      </c>
      <c r="C11" t="s">
        <v>638</v>
      </c>
      <c r="D11" t="s">
        <v>641</v>
      </c>
      <c r="E11" t="s">
        <v>642</v>
      </c>
      <c r="F11">
        <v>1961</v>
      </c>
      <c r="G11">
        <v>208</v>
      </c>
      <c r="H11">
        <v>208</v>
      </c>
      <c r="I11">
        <v>11.865373645179689</v>
      </c>
      <c r="J11">
        <v>6</v>
      </c>
      <c r="K11">
        <v>24</v>
      </c>
    </row>
    <row r="12" spans="1:11">
      <c r="A12" t="s">
        <v>608</v>
      </c>
      <c r="B12">
        <v>5</v>
      </c>
      <c r="C12" t="s">
        <v>632</v>
      </c>
      <c r="D12" t="s">
        <v>635</v>
      </c>
      <c r="E12" t="s">
        <v>636</v>
      </c>
      <c r="F12">
        <v>6563</v>
      </c>
      <c r="G12">
        <v>206</v>
      </c>
      <c r="H12">
        <v>206</v>
      </c>
      <c r="I12">
        <v>3.2405222589271672</v>
      </c>
      <c r="J12">
        <v>26</v>
      </c>
      <c r="K12">
        <v>27</v>
      </c>
    </row>
    <row r="13" spans="1:11">
      <c r="A13" t="s">
        <v>608</v>
      </c>
      <c r="B13">
        <v>7</v>
      </c>
      <c r="C13" t="s">
        <v>644</v>
      </c>
      <c r="D13" t="s">
        <v>646</v>
      </c>
      <c r="E13" t="s">
        <v>647</v>
      </c>
      <c r="F13">
        <v>1702</v>
      </c>
      <c r="G13">
        <v>198</v>
      </c>
      <c r="H13">
        <v>198</v>
      </c>
      <c r="I13">
        <v>13.16489361702128</v>
      </c>
      <c r="J13">
        <v>19</v>
      </c>
      <c r="K13">
        <v>37</v>
      </c>
    </row>
    <row r="14" spans="1:11">
      <c r="A14" t="s">
        <v>17</v>
      </c>
      <c r="B14">
        <v>4</v>
      </c>
      <c r="C14" t="s">
        <v>38</v>
      </c>
      <c r="D14" t="s">
        <v>41</v>
      </c>
      <c r="E14" t="s">
        <v>42</v>
      </c>
      <c r="F14">
        <v>2394</v>
      </c>
      <c r="G14">
        <v>196</v>
      </c>
      <c r="H14">
        <v>196</v>
      </c>
      <c r="I14">
        <v>8.9171974522292992</v>
      </c>
      <c r="J14">
        <v>18</v>
      </c>
      <c r="K14">
        <v>40</v>
      </c>
    </row>
    <row r="15" spans="1:11">
      <c r="A15" t="s">
        <v>17</v>
      </c>
      <c r="B15">
        <v>5</v>
      </c>
      <c r="C15" t="s">
        <v>45</v>
      </c>
      <c r="D15" t="s">
        <v>48</v>
      </c>
      <c r="E15" t="s">
        <v>49</v>
      </c>
      <c r="F15">
        <v>1697</v>
      </c>
      <c r="G15">
        <v>176</v>
      </c>
      <c r="H15">
        <v>176</v>
      </c>
      <c r="I15">
        <v>11.57133464825773</v>
      </c>
      <c r="J15">
        <v>17</v>
      </c>
      <c r="K15">
        <v>36</v>
      </c>
    </row>
    <row r="16" spans="1:11">
      <c r="A16" t="s">
        <v>17</v>
      </c>
      <c r="B16">
        <v>2</v>
      </c>
      <c r="C16" t="s">
        <v>26</v>
      </c>
      <c r="D16" t="s">
        <v>29</v>
      </c>
      <c r="E16" t="s">
        <v>30</v>
      </c>
      <c r="F16">
        <v>4608</v>
      </c>
      <c r="G16">
        <v>173</v>
      </c>
      <c r="H16">
        <v>173</v>
      </c>
      <c r="I16">
        <v>3.9007891770011272</v>
      </c>
      <c r="J16">
        <v>27</v>
      </c>
      <c r="K16">
        <v>104</v>
      </c>
    </row>
    <row r="17" spans="1:11">
      <c r="A17" t="s">
        <v>608</v>
      </c>
      <c r="B17">
        <v>3</v>
      </c>
      <c r="C17" t="s">
        <v>621</v>
      </c>
      <c r="D17" t="s">
        <v>624</v>
      </c>
      <c r="E17" t="s">
        <v>625</v>
      </c>
      <c r="F17">
        <v>7563</v>
      </c>
      <c r="G17">
        <v>161</v>
      </c>
      <c r="H17">
        <v>161</v>
      </c>
      <c r="I17">
        <v>2.175087814104296</v>
      </c>
      <c r="J17">
        <v>27</v>
      </c>
      <c r="K17">
        <v>40</v>
      </c>
    </row>
    <row r="18" spans="1:11">
      <c r="A18" t="s">
        <v>608</v>
      </c>
      <c r="B18">
        <v>9</v>
      </c>
      <c r="C18" t="s">
        <v>655</v>
      </c>
      <c r="D18" t="s">
        <v>658</v>
      </c>
      <c r="E18" t="s">
        <v>659</v>
      </c>
      <c r="F18">
        <v>3597</v>
      </c>
      <c r="G18">
        <v>157</v>
      </c>
      <c r="H18">
        <v>157</v>
      </c>
      <c r="I18">
        <v>4.5639534883720936</v>
      </c>
      <c r="J18">
        <v>26</v>
      </c>
      <c r="K18">
        <v>27</v>
      </c>
    </row>
    <row r="19" spans="1:11">
      <c r="A19" t="s">
        <v>17</v>
      </c>
      <c r="B19">
        <v>27</v>
      </c>
      <c r="C19" t="s">
        <v>176</v>
      </c>
      <c r="D19" t="s">
        <v>178</v>
      </c>
      <c r="E19" t="s">
        <v>179</v>
      </c>
      <c r="F19">
        <v>13296</v>
      </c>
      <c r="G19">
        <v>122</v>
      </c>
      <c r="H19">
        <v>122</v>
      </c>
      <c r="I19">
        <v>0.92606649461059665</v>
      </c>
      <c r="J19">
        <v>73</v>
      </c>
      <c r="K19">
        <v>76</v>
      </c>
    </row>
    <row r="20" spans="1:11">
      <c r="A20" t="s">
        <v>17</v>
      </c>
      <c r="B20">
        <v>17</v>
      </c>
      <c r="C20" t="s">
        <v>116</v>
      </c>
      <c r="D20" t="s">
        <v>119</v>
      </c>
      <c r="E20" t="s">
        <v>120</v>
      </c>
      <c r="F20">
        <v>272</v>
      </c>
      <c r="G20">
        <v>103</v>
      </c>
      <c r="H20">
        <v>103</v>
      </c>
      <c r="I20">
        <v>60.946745562130182</v>
      </c>
      <c r="J20">
        <v>7</v>
      </c>
      <c r="K20">
        <v>16</v>
      </c>
    </row>
    <row r="21" spans="1:11">
      <c r="A21" t="s">
        <v>17</v>
      </c>
      <c r="B21">
        <v>7</v>
      </c>
      <c r="C21" t="s">
        <v>57</v>
      </c>
      <c r="D21" t="s">
        <v>60</v>
      </c>
      <c r="E21" t="s">
        <v>61</v>
      </c>
      <c r="F21">
        <v>1259</v>
      </c>
      <c r="G21">
        <v>94</v>
      </c>
      <c r="H21">
        <v>94</v>
      </c>
      <c r="I21">
        <v>8.0686695278969953</v>
      </c>
      <c r="J21">
        <v>21</v>
      </c>
      <c r="K21">
        <v>35</v>
      </c>
    </row>
    <row r="22" spans="1:11">
      <c r="A22" t="s">
        <v>608</v>
      </c>
      <c r="B22">
        <v>15</v>
      </c>
      <c r="C22" t="s">
        <v>691</v>
      </c>
      <c r="D22" t="s">
        <v>694</v>
      </c>
      <c r="E22" t="s">
        <v>695</v>
      </c>
      <c r="F22">
        <v>18723</v>
      </c>
      <c r="G22">
        <v>93</v>
      </c>
      <c r="H22">
        <v>93</v>
      </c>
      <c r="I22">
        <v>0.49919484702093397</v>
      </c>
      <c r="J22">
        <v>70</v>
      </c>
      <c r="K22">
        <v>85</v>
      </c>
    </row>
    <row r="23" spans="1:11">
      <c r="A23" t="s">
        <v>608</v>
      </c>
      <c r="B23">
        <v>17</v>
      </c>
      <c r="C23" t="s">
        <v>703</v>
      </c>
      <c r="D23" t="s">
        <v>706</v>
      </c>
      <c r="E23" t="s">
        <v>707</v>
      </c>
      <c r="F23">
        <v>1722</v>
      </c>
      <c r="G23">
        <v>85</v>
      </c>
      <c r="H23">
        <v>85</v>
      </c>
      <c r="I23">
        <v>5.1924251679902254</v>
      </c>
      <c r="J23">
        <v>24</v>
      </c>
      <c r="K23">
        <v>35</v>
      </c>
    </row>
    <row r="24" spans="1:11">
      <c r="A24" t="s">
        <v>608</v>
      </c>
      <c r="B24">
        <v>54</v>
      </c>
      <c r="C24" t="s">
        <v>920</v>
      </c>
      <c r="D24" t="s">
        <v>923</v>
      </c>
      <c r="E24" t="s">
        <v>924</v>
      </c>
      <c r="F24">
        <v>370</v>
      </c>
      <c r="G24">
        <v>82</v>
      </c>
      <c r="H24">
        <v>82</v>
      </c>
      <c r="I24">
        <v>28.472222222222221</v>
      </c>
      <c r="J24">
        <v>9</v>
      </c>
      <c r="K24">
        <v>11</v>
      </c>
    </row>
    <row r="25" spans="1:11">
      <c r="A25" t="s">
        <v>608</v>
      </c>
      <c r="B25">
        <v>12</v>
      </c>
      <c r="C25" t="s">
        <v>673</v>
      </c>
      <c r="D25" t="s">
        <v>676</v>
      </c>
      <c r="E25" t="s">
        <v>677</v>
      </c>
      <c r="F25">
        <v>2610</v>
      </c>
      <c r="G25">
        <v>81</v>
      </c>
      <c r="H25">
        <v>81</v>
      </c>
      <c r="I25">
        <v>3.2028469750889679</v>
      </c>
      <c r="J25">
        <v>29</v>
      </c>
      <c r="K25">
        <v>61</v>
      </c>
    </row>
    <row r="26" spans="1:11">
      <c r="A26" t="s">
        <v>608</v>
      </c>
      <c r="B26">
        <v>16</v>
      </c>
      <c r="C26" t="s">
        <v>697</v>
      </c>
      <c r="D26" t="s">
        <v>700</v>
      </c>
      <c r="E26" t="s">
        <v>701</v>
      </c>
      <c r="F26">
        <v>1769</v>
      </c>
      <c r="G26">
        <v>78</v>
      </c>
      <c r="H26">
        <v>78</v>
      </c>
      <c r="I26">
        <v>4.6126552335895914</v>
      </c>
      <c r="J26">
        <v>31</v>
      </c>
      <c r="K26">
        <v>30</v>
      </c>
    </row>
    <row r="27" spans="1:11">
      <c r="A27" t="s">
        <v>608</v>
      </c>
      <c r="B27">
        <v>18</v>
      </c>
      <c r="C27" t="s">
        <v>709</v>
      </c>
      <c r="D27" t="s">
        <v>712</v>
      </c>
      <c r="E27" t="s">
        <v>713</v>
      </c>
      <c r="F27">
        <v>2275</v>
      </c>
      <c r="G27">
        <v>78</v>
      </c>
      <c r="H27">
        <v>78</v>
      </c>
      <c r="I27">
        <v>3.550295857988166</v>
      </c>
      <c r="J27">
        <v>31</v>
      </c>
      <c r="K27">
        <v>39</v>
      </c>
    </row>
    <row r="28" spans="1:11">
      <c r="A28" t="s">
        <v>17</v>
      </c>
      <c r="B28">
        <v>8</v>
      </c>
      <c r="C28" t="s">
        <v>63</v>
      </c>
      <c r="D28" t="s">
        <v>66</v>
      </c>
      <c r="E28" t="s">
        <v>67</v>
      </c>
      <c r="F28">
        <v>709</v>
      </c>
      <c r="G28">
        <v>66</v>
      </c>
      <c r="H28">
        <v>66</v>
      </c>
      <c r="I28">
        <v>10.26438569206843</v>
      </c>
      <c r="J28">
        <v>11</v>
      </c>
      <c r="K28">
        <v>20</v>
      </c>
    </row>
    <row r="29" spans="1:11">
      <c r="A29" t="s">
        <v>608</v>
      </c>
      <c r="B29">
        <v>13</v>
      </c>
      <c r="C29" t="s">
        <v>679</v>
      </c>
      <c r="D29" t="s">
        <v>682</v>
      </c>
      <c r="E29" t="s">
        <v>683</v>
      </c>
      <c r="F29">
        <v>1278</v>
      </c>
      <c r="G29">
        <v>66</v>
      </c>
      <c r="H29">
        <v>66</v>
      </c>
      <c r="I29">
        <v>5.4455445544554459</v>
      </c>
      <c r="J29">
        <v>9</v>
      </c>
      <c r="K29">
        <v>10</v>
      </c>
    </row>
    <row r="30" spans="1:11">
      <c r="A30" t="s">
        <v>17</v>
      </c>
      <c r="B30">
        <v>9</v>
      </c>
      <c r="C30" t="s">
        <v>69</v>
      </c>
      <c r="D30" t="s">
        <v>72</v>
      </c>
      <c r="E30" t="s">
        <v>73</v>
      </c>
      <c r="F30">
        <v>1158</v>
      </c>
      <c r="G30">
        <v>62</v>
      </c>
      <c r="H30">
        <v>62</v>
      </c>
      <c r="I30">
        <v>5.6569343065693429</v>
      </c>
      <c r="J30">
        <v>30</v>
      </c>
      <c r="K30">
        <v>32</v>
      </c>
    </row>
    <row r="31" spans="1:11">
      <c r="A31" t="s">
        <v>608</v>
      </c>
      <c r="B31">
        <v>24</v>
      </c>
      <c r="C31" t="s">
        <v>744</v>
      </c>
      <c r="D31" t="s">
        <v>747</v>
      </c>
      <c r="E31" t="s">
        <v>748</v>
      </c>
      <c r="F31">
        <v>1117</v>
      </c>
      <c r="G31">
        <v>62</v>
      </c>
      <c r="H31">
        <v>62</v>
      </c>
      <c r="I31">
        <v>5.8767772511848344</v>
      </c>
      <c r="J31">
        <v>23</v>
      </c>
      <c r="K31">
        <v>26</v>
      </c>
    </row>
    <row r="32" spans="1:11">
      <c r="A32" t="s">
        <v>608</v>
      </c>
      <c r="B32">
        <v>19</v>
      </c>
      <c r="C32" t="s">
        <v>715</v>
      </c>
      <c r="D32" t="s">
        <v>718</v>
      </c>
      <c r="E32" t="s">
        <v>719</v>
      </c>
      <c r="F32">
        <v>1532</v>
      </c>
      <c r="G32">
        <v>59</v>
      </c>
      <c r="H32">
        <v>59</v>
      </c>
      <c r="I32">
        <v>4.0054310930074681</v>
      </c>
      <c r="J32">
        <v>19</v>
      </c>
      <c r="K32">
        <v>20</v>
      </c>
    </row>
    <row r="33" spans="1:11">
      <c r="A33" t="s">
        <v>608</v>
      </c>
      <c r="B33">
        <v>20</v>
      </c>
      <c r="C33" t="s">
        <v>721</v>
      </c>
      <c r="D33" t="s">
        <v>724</v>
      </c>
      <c r="E33" t="s">
        <v>725</v>
      </c>
      <c r="F33">
        <v>10879</v>
      </c>
      <c r="G33">
        <v>59</v>
      </c>
      <c r="H33">
        <v>59</v>
      </c>
      <c r="I33">
        <v>0.54528650646950094</v>
      </c>
      <c r="J33">
        <v>48</v>
      </c>
      <c r="K33">
        <v>48</v>
      </c>
    </row>
    <row r="34" spans="1:11">
      <c r="A34" t="s">
        <v>608</v>
      </c>
      <c r="B34">
        <v>40</v>
      </c>
      <c r="C34" t="s">
        <v>838</v>
      </c>
      <c r="D34" t="s">
        <v>841</v>
      </c>
      <c r="E34" t="s">
        <v>842</v>
      </c>
      <c r="F34">
        <v>910</v>
      </c>
      <c r="G34">
        <v>56</v>
      </c>
      <c r="H34">
        <v>56</v>
      </c>
      <c r="I34">
        <v>6.557377049180328</v>
      </c>
      <c r="J34">
        <v>26</v>
      </c>
      <c r="K34">
        <v>27</v>
      </c>
    </row>
    <row r="35" spans="1:11">
      <c r="A35" t="s">
        <v>608</v>
      </c>
      <c r="B35">
        <v>43</v>
      </c>
      <c r="C35" t="s">
        <v>856</v>
      </c>
      <c r="D35" t="s">
        <v>859</v>
      </c>
      <c r="E35" t="s">
        <v>860</v>
      </c>
      <c r="F35">
        <v>675</v>
      </c>
      <c r="G35">
        <v>55</v>
      </c>
      <c r="H35">
        <v>55</v>
      </c>
      <c r="I35">
        <v>8.870967741935484</v>
      </c>
      <c r="J35">
        <v>15</v>
      </c>
      <c r="K35">
        <v>38</v>
      </c>
    </row>
    <row r="36" spans="1:11">
      <c r="A36" t="s">
        <v>608</v>
      </c>
      <c r="B36">
        <v>32</v>
      </c>
      <c r="C36" t="s">
        <v>792</v>
      </c>
      <c r="D36" t="s">
        <v>795</v>
      </c>
      <c r="E36" t="s">
        <v>796</v>
      </c>
      <c r="F36">
        <v>1652</v>
      </c>
      <c r="G36">
        <v>53</v>
      </c>
      <c r="H36">
        <v>53</v>
      </c>
      <c r="I36">
        <v>3.3145716072545341</v>
      </c>
      <c r="J36">
        <v>33</v>
      </c>
      <c r="K36">
        <v>45</v>
      </c>
    </row>
    <row r="37" spans="1:11">
      <c r="A37" t="s">
        <v>608</v>
      </c>
      <c r="B37">
        <v>64</v>
      </c>
      <c r="C37" t="s">
        <v>977</v>
      </c>
      <c r="D37" t="s">
        <v>980</v>
      </c>
      <c r="E37" t="s">
        <v>981</v>
      </c>
      <c r="F37">
        <v>711</v>
      </c>
      <c r="G37">
        <v>53</v>
      </c>
      <c r="H37">
        <v>53</v>
      </c>
      <c r="I37">
        <v>8.0547112462006076</v>
      </c>
      <c r="J37">
        <v>28</v>
      </c>
      <c r="K37">
        <v>33</v>
      </c>
    </row>
    <row r="38" spans="1:11">
      <c r="A38" t="s">
        <v>608</v>
      </c>
      <c r="B38">
        <v>33</v>
      </c>
      <c r="C38" t="s">
        <v>798</v>
      </c>
      <c r="D38" t="s">
        <v>801</v>
      </c>
      <c r="E38" t="s">
        <v>802</v>
      </c>
      <c r="F38">
        <v>1541</v>
      </c>
      <c r="G38">
        <v>52</v>
      </c>
      <c r="H38">
        <v>52</v>
      </c>
      <c r="I38">
        <v>3.492276695768973</v>
      </c>
      <c r="J38">
        <v>26</v>
      </c>
      <c r="K38">
        <v>28</v>
      </c>
    </row>
    <row r="39" spans="1:11">
      <c r="A39" t="s">
        <v>608</v>
      </c>
      <c r="B39">
        <v>27</v>
      </c>
      <c r="C39" t="s">
        <v>762</v>
      </c>
      <c r="D39" t="s">
        <v>765</v>
      </c>
      <c r="E39" t="s">
        <v>766</v>
      </c>
      <c r="F39">
        <v>4671</v>
      </c>
      <c r="G39">
        <v>51</v>
      </c>
      <c r="H39">
        <v>51</v>
      </c>
      <c r="I39">
        <v>1.1038961038961039</v>
      </c>
      <c r="J39">
        <v>31</v>
      </c>
      <c r="K39">
        <v>105</v>
      </c>
    </row>
    <row r="40" spans="1:11">
      <c r="A40" t="s">
        <v>17</v>
      </c>
      <c r="B40">
        <v>13</v>
      </c>
      <c r="C40" t="s">
        <v>93</v>
      </c>
      <c r="D40" t="s">
        <v>96</v>
      </c>
      <c r="E40" t="s">
        <v>97</v>
      </c>
      <c r="F40">
        <v>498</v>
      </c>
      <c r="G40">
        <v>51</v>
      </c>
      <c r="H40">
        <v>51</v>
      </c>
      <c r="I40">
        <v>11.409395973154361</v>
      </c>
      <c r="J40">
        <v>16</v>
      </c>
      <c r="K40">
        <v>67</v>
      </c>
    </row>
    <row r="41" spans="1:11">
      <c r="A41" t="s">
        <v>17</v>
      </c>
      <c r="B41">
        <v>6</v>
      </c>
      <c r="C41" t="s">
        <v>51</v>
      </c>
      <c r="D41" t="s">
        <v>54</v>
      </c>
      <c r="E41" t="s">
        <v>55</v>
      </c>
      <c r="F41">
        <v>2180</v>
      </c>
      <c r="G41">
        <v>51</v>
      </c>
      <c r="H41">
        <v>51</v>
      </c>
      <c r="I41">
        <v>2.3954908407703139</v>
      </c>
      <c r="J41">
        <v>60</v>
      </c>
      <c r="K41">
        <v>59</v>
      </c>
    </row>
    <row r="42" spans="1:11">
      <c r="A42" t="s">
        <v>608</v>
      </c>
      <c r="B42">
        <v>23</v>
      </c>
      <c r="C42" t="s">
        <v>738</v>
      </c>
      <c r="D42" t="s">
        <v>741</v>
      </c>
      <c r="E42" t="s">
        <v>742</v>
      </c>
      <c r="F42">
        <v>1538</v>
      </c>
      <c r="G42">
        <v>50</v>
      </c>
      <c r="H42">
        <v>50</v>
      </c>
      <c r="I42">
        <v>3.360215053763441</v>
      </c>
      <c r="J42">
        <v>27</v>
      </c>
      <c r="K42">
        <v>40</v>
      </c>
    </row>
    <row r="43" spans="1:11">
      <c r="A43" t="s">
        <v>17</v>
      </c>
      <c r="B43">
        <v>22</v>
      </c>
      <c r="C43" t="s">
        <v>146</v>
      </c>
      <c r="D43" t="s">
        <v>149</v>
      </c>
      <c r="E43" t="s">
        <v>150</v>
      </c>
      <c r="F43">
        <v>241</v>
      </c>
      <c r="G43">
        <v>48</v>
      </c>
      <c r="H43">
        <v>48</v>
      </c>
      <c r="I43">
        <v>24.870466321243519</v>
      </c>
      <c r="J43">
        <v>8</v>
      </c>
      <c r="K43">
        <v>65</v>
      </c>
    </row>
    <row r="44" spans="1:11">
      <c r="A44" t="s">
        <v>17</v>
      </c>
      <c r="B44">
        <v>14</v>
      </c>
      <c r="C44" t="s">
        <v>99</v>
      </c>
      <c r="D44" t="s">
        <v>102</v>
      </c>
      <c r="E44" t="s">
        <v>103</v>
      </c>
      <c r="F44">
        <v>558</v>
      </c>
      <c r="G44">
        <v>48</v>
      </c>
      <c r="H44">
        <v>48</v>
      </c>
      <c r="I44">
        <v>9.4117647058823533</v>
      </c>
      <c r="J44">
        <v>15</v>
      </c>
      <c r="K44">
        <v>18</v>
      </c>
    </row>
    <row r="45" spans="1:11">
      <c r="A45" t="s">
        <v>608</v>
      </c>
      <c r="B45">
        <v>31</v>
      </c>
      <c r="C45" t="s">
        <v>786</v>
      </c>
      <c r="D45" t="s">
        <v>789</v>
      </c>
      <c r="E45" t="s">
        <v>790</v>
      </c>
      <c r="F45">
        <v>1496</v>
      </c>
      <c r="G45">
        <v>46</v>
      </c>
      <c r="H45">
        <v>46</v>
      </c>
      <c r="I45">
        <v>3.172413793103448</v>
      </c>
      <c r="J45">
        <v>38</v>
      </c>
      <c r="K45">
        <v>78</v>
      </c>
    </row>
    <row r="46" spans="1:11">
      <c r="A46" t="s">
        <v>608</v>
      </c>
      <c r="B46">
        <v>26</v>
      </c>
      <c r="C46" t="s">
        <v>756</v>
      </c>
      <c r="D46" t="s">
        <v>759</v>
      </c>
      <c r="E46" t="s">
        <v>760</v>
      </c>
      <c r="F46">
        <v>19391</v>
      </c>
      <c r="G46">
        <v>45</v>
      </c>
      <c r="H46">
        <v>45</v>
      </c>
      <c r="I46">
        <v>0.23260622350873569</v>
      </c>
      <c r="J46">
        <v>41</v>
      </c>
      <c r="K46">
        <v>43</v>
      </c>
    </row>
    <row r="47" spans="1:11">
      <c r="A47" t="s">
        <v>17</v>
      </c>
      <c r="B47">
        <v>25</v>
      </c>
      <c r="C47" t="s">
        <v>164</v>
      </c>
      <c r="D47" t="s">
        <v>167</v>
      </c>
      <c r="E47" t="s">
        <v>168</v>
      </c>
      <c r="F47">
        <v>1612</v>
      </c>
      <c r="G47">
        <v>44</v>
      </c>
      <c r="H47">
        <v>44</v>
      </c>
      <c r="I47">
        <v>2.806122448979592</v>
      </c>
      <c r="J47">
        <v>46</v>
      </c>
      <c r="K47">
        <v>47</v>
      </c>
    </row>
    <row r="48" spans="1:11">
      <c r="A48" t="s">
        <v>17</v>
      </c>
      <c r="B48">
        <v>10</v>
      </c>
      <c r="C48" t="s">
        <v>75</v>
      </c>
      <c r="D48" t="s">
        <v>78</v>
      </c>
      <c r="E48" t="s">
        <v>79</v>
      </c>
      <c r="F48">
        <v>5914</v>
      </c>
      <c r="G48">
        <v>43</v>
      </c>
      <c r="H48">
        <v>43</v>
      </c>
      <c r="I48">
        <v>0.73241355816726283</v>
      </c>
      <c r="J48">
        <v>32</v>
      </c>
      <c r="K48">
        <v>33</v>
      </c>
    </row>
    <row r="49" spans="1:11">
      <c r="A49" t="s">
        <v>608</v>
      </c>
      <c r="B49">
        <v>21</v>
      </c>
      <c r="C49" t="s">
        <v>727</v>
      </c>
      <c r="D49" t="s">
        <v>730</v>
      </c>
      <c r="E49" t="s">
        <v>731</v>
      </c>
      <c r="F49">
        <v>844</v>
      </c>
      <c r="G49">
        <v>42</v>
      </c>
      <c r="H49">
        <v>42</v>
      </c>
      <c r="I49">
        <v>5.2369077306733169</v>
      </c>
      <c r="J49">
        <v>44</v>
      </c>
      <c r="K49">
        <v>147</v>
      </c>
    </row>
    <row r="50" spans="1:11">
      <c r="A50" t="s">
        <v>17</v>
      </c>
      <c r="B50">
        <v>26</v>
      </c>
      <c r="C50" t="s">
        <v>170</v>
      </c>
      <c r="D50" t="s">
        <v>173</v>
      </c>
      <c r="E50" t="s">
        <v>174</v>
      </c>
      <c r="F50">
        <v>1103</v>
      </c>
      <c r="G50">
        <v>41</v>
      </c>
      <c r="H50">
        <v>41</v>
      </c>
      <c r="I50">
        <v>3.8606403013182669</v>
      </c>
      <c r="J50">
        <v>33</v>
      </c>
      <c r="K50">
        <v>34</v>
      </c>
    </row>
    <row r="51" spans="1:11">
      <c r="A51" t="s">
        <v>17</v>
      </c>
      <c r="B51">
        <v>23</v>
      </c>
      <c r="C51" t="s">
        <v>152</v>
      </c>
      <c r="D51" t="s">
        <v>155</v>
      </c>
      <c r="E51" t="s">
        <v>156</v>
      </c>
      <c r="F51">
        <v>840</v>
      </c>
      <c r="G51">
        <v>39</v>
      </c>
      <c r="H51">
        <v>39</v>
      </c>
      <c r="I51">
        <v>4.868913857677903</v>
      </c>
      <c r="J51">
        <v>19</v>
      </c>
      <c r="K51">
        <v>21</v>
      </c>
    </row>
    <row r="52" spans="1:11">
      <c r="A52" t="s">
        <v>608</v>
      </c>
      <c r="B52">
        <v>41</v>
      </c>
      <c r="C52" t="s">
        <v>844</v>
      </c>
      <c r="D52" t="s">
        <v>847</v>
      </c>
      <c r="E52" t="s">
        <v>848</v>
      </c>
      <c r="F52">
        <v>250</v>
      </c>
      <c r="G52">
        <v>39</v>
      </c>
      <c r="H52">
        <v>39</v>
      </c>
      <c r="I52">
        <v>18.48341232227488</v>
      </c>
      <c r="J52">
        <v>5</v>
      </c>
      <c r="K52">
        <v>12</v>
      </c>
    </row>
    <row r="53" spans="1:11">
      <c r="A53" t="s">
        <v>608</v>
      </c>
      <c r="B53">
        <v>34</v>
      </c>
      <c r="C53" t="s">
        <v>804</v>
      </c>
      <c r="D53" t="s">
        <v>806</v>
      </c>
      <c r="E53" t="s">
        <v>807</v>
      </c>
      <c r="F53">
        <v>888</v>
      </c>
      <c r="G53">
        <v>39</v>
      </c>
      <c r="H53">
        <v>39</v>
      </c>
      <c r="I53">
        <v>4.5936395759717312</v>
      </c>
      <c r="J53">
        <v>18</v>
      </c>
      <c r="K53">
        <v>36</v>
      </c>
    </row>
    <row r="54" spans="1:11">
      <c r="A54" t="s">
        <v>17</v>
      </c>
      <c r="B54">
        <v>44</v>
      </c>
      <c r="C54" t="s">
        <v>275</v>
      </c>
      <c r="D54" t="s">
        <v>278</v>
      </c>
      <c r="E54" t="s">
        <v>279</v>
      </c>
      <c r="F54">
        <v>1372</v>
      </c>
      <c r="G54">
        <v>38</v>
      </c>
      <c r="H54">
        <v>38</v>
      </c>
      <c r="I54">
        <v>2.8485757121439281</v>
      </c>
      <c r="J54">
        <v>43</v>
      </c>
      <c r="K54">
        <v>187</v>
      </c>
    </row>
    <row r="55" spans="1:11">
      <c r="A55" t="s">
        <v>608</v>
      </c>
      <c r="B55">
        <v>38</v>
      </c>
      <c r="C55" t="s">
        <v>827</v>
      </c>
      <c r="D55" t="s">
        <v>829</v>
      </c>
      <c r="E55" t="s">
        <v>830</v>
      </c>
      <c r="F55">
        <v>1516</v>
      </c>
      <c r="G55">
        <v>38</v>
      </c>
      <c r="H55">
        <v>38</v>
      </c>
      <c r="I55">
        <v>2.5710419485791611</v>
      </c>
      <c r="J55">
        <v>27</v>
      </c>
      <c r="K55">
        <v>41</v>
      </c>
    </row>
    <row r="56" spans="1:11">
      <c r="A56" t="s">
        <v>608</v>
      </c>
      <c r="B56">
        <v>25</v>
      </c>
      <c r="C56" t="s">
        <v>750</v>
      </c>
      <c r="D56" t="s">
        <v>753</v>
      </c>
      <c r="E56" t="s">
        <v>754</v>
      </c>
      <c r="F56">
        <v>493</v>
      </c>
      <c r="G56">
        <v>38</v>
      </c>
      <c r="H56">
        <v>38</v>
      </c>
      <c r="I56">
        <v>8.3516483516483504</v>
      </c>
      <c r="J56">
        <v>5</v>
      </c>
      <c r="K56">
        <v>6</v>
      </c>
    </row>
    <row r="57" spans="1:11">
      <c r="A57" t="s">
        <v>608</v>
      </c>
      <c r="B57">
        <v>65</v>
      </c>
      <c r="C57" t="s">
        <v>983</v>
      </c>
      <c r="D57" t="s">
        <v>986</v>
      </c>
      <c r="E57" t="s">
        <v>987</v>
      </c>
      <c r="F57">
        <v>622</v>
      </c>
      <c r="G57">
        <v>38</v>
      </c>
      <c r="H57">
        <v>38</v>
      </c>
      <c r="I57">
        <v>6.506849315068493</v>
      </c>
      <c r="J57">
        <v>26</v>
      </c>
      <c r="K57">
        <v>28</v>
      </c>
    </row>
    <row r="58" spans="1:11">
      <c r="A58" t="s">
        <v>608</v>
      </c>
      <c r="B58">
        <v>22</v>
      </c>
      <c r="C58" t="s">
        <v>733</v>
      </c>
      <c r="D58" t="s">
        <v>735</v>
      </c>
      <c r="E58" t="s">
        <v>736</v>
      </c>
      <c r="F58">
        <v>2550</v>
      </c>
      <c r="G58">
        <v>36</v>
      </c>
      <c r="H58">
        <v>36</v>
      </c>
      <c r="I58">
        <v>1.431980906921241</v>
      </c>
      <c r="J58">
        <v>27</v>
      </c>
      <c r="K58">
        <v>36</v>
      </c>
    </row>
    <row r="59" spans="1:11">
      <c r="A59" t="s">
        <v>608</v>
      </c>
      <c r="B59">
        <v>75</v>
      </c>
      <c r="C59" t="s">
        <v>1041</v>
      </c>
      <c r="D59" t="s">
        <v>1044</v>
      </c>
      <c r="E59" t="s">
        <v>1045</v>
      </c>
      <c r="F59">
        <v>455</v>
      </c>
      <c r="G59">
        <v>35</v>
      </c>
      <c r="H59">
        <v>35</v>
      </c>
      <c r="I59">
        <v>8.3333333333333321</v>
      </c>
      <c r="J59">
        <v>18</v>
      </c>
      <c r="K59">
        <v>20</v>
      </c>
    </row>
    <row r="60" spans="1:11">
      <c r="A60" t="s">
        <v>17</v>
      </c>
      <c r="B60">
        <v>11</v>
      </c>
      <c r="C60" t="s">
        <v>81</v>
      </c>
      <c r="D60" t="s">
        <v>84</v>
      </c>
      <c r="E60" t="s">
        <v>85</v>
      </c>
      <c r="F60">
        <v>3605</v>
      </c>
      <c r="G60">
        <v>35</v>
      </c>
      <c r="H60">
        <v>35</v>
      </c>
      <c r="I60">
        <v>0.98039215686274506</v>
      </c>
      <c r="J60">
        <v>40</v>
      </c>
      <c r="K60">
        <v>41</v>
      </c>
    </row>
    <row r="61" spans="1:11">
      <c r="A61" t="s">
        <v>17</v>
      </c>
      <c r="B61">
        <v>15</v>
      </c>
      <c r="C61" t="s">
        <v>105</v>
      </c>
      <c r="D61" t="s">
        <v>108</v>
      </c>
      <c r="E61" t="s">
        <v>109</v>
      </c>
      <c r="F61">
        <v>554</v>
      </c>
      <c r="G61">
        <v>34</v>
      </c>
      <c r="H61">
        <v>34</v>
      </c>
      <c r="I61">
        <v>6.5384615384615392</v>
      </c>
      <c r="J61">
        <v>12</v>
      </c>
      <c r="K61">
        <v>50</v>
      </c>
    </row>
    <row r="62" spans="1:11">
      <c r="A62" t="s">
        <v>17</v>
      </c>
      <c r="B62">
        <v>20</v>
      </c>
      <c r="C62" t="s">
        <v>134</v>
      </c>
      <c r="D62" t="s">
        <v>137</v>
      </c>
      <c r="E62" t="s">
        <v>138</v>
      </c>
      <c r="F62">
        <v>731</v>
      </c>
      <c r="G62">
        <v>34</v>
      </c>
      <c r="H62">
        <v>34</v>
      </c>
      <c r="I62">
        <v>4.8780487804878048</v>
      </c>
      <c r="J62">
        <v>21</v>
      </c>
      <c r="K62">
        <v>27</v>
      </c>
    </row>
    <row r="63" spans="1:11">
      <c r="A63" t="s">
        <v>608</v>
      </c>
      <c r="B63">
        <v>99</v>
      </c>
      <c r="C63" t="s">
        <v>1177</v>
      </c>
      <c r="D63" t="s">
        <v>1180</v>
      </c>
      <c r="E63" t="s">
        <v>1181</v>
      </c>
      <c r="F63">
        <v>140</v>
      </c>
      <c r="G63">
        <v>33</v>
      </c>
      <c r="H63">
        <v>33</v>
      </c>
      <c r="I63">
        <v>30.841121495327101</v>
      </c>
      <c r="J63">
        <v>8</v>
      </c>
      <c r="K63">
        <v>12</v>
      </c>
    </row>
    <row r="64" spans="1:11">
      <c r="A64" t="s">
        <v>17</v>
      </c>
      <c r="B64">
        <v>60</v>
      </c>
      <c r="C64" t="s">
        <v>369</v>
      </c>
      <c r="D64" t="s">
        <v>372</v>
      </c>
      <c r="E64" t="s">
        <v>373</v>
      </c>
      <c r="F64">
        <v>32784</v>
      </c>
      <c r="G64">
        <v>33</v>
      </c>
      <c r="H64">
        <v>33</v>
      </c>
      <c r="I64">
        <v>0.10076028212879</v>
      </c>
      <c r="J64">
        <v>511</v>
      </c>
      <c r="K64">
        <v>212</v>
      </c>
    </row>
    <row r="65" spans="1:11">
      <c r="A65" t="s">
        <v>17</v>
      </c>
      <c r="B65">
        <v>34</v>
      </c>
      <c r="C65" t="s">
        <v>216</v>
      </c>
      <c r="D65" t="s">
        <v>219</v>
      </c>
      <c r="E65" t="s">
        <v>220</v>
      </c>
      <c r="F65">
        <v>220</v>
      </c>
      <c r="G65">
        <v>32</v>
      </c>
      <c r="H65">
        <v>32</v>
      </c>
      <c r="I65">
        <v>17.021276595744681</v>
      </c>
      <c r="J65">
        <v>13</v>
      </c>
      <c r="K65">
        <v>31</v>
      </c>
    </row>
    <row r="66" spans="1:11">
      <c r="A66" t="s">
        <v>17</v>
      </c>
      <c r="B66">
        <v>41</v>
      </c>
      <c r="C66" t="s">
        <v>257</v>
      </c>
      <c r="D66" t="s">
        <v>260</v>
      </c>
      <c r="E66" t="s">
        <v>261</v>
      </c>
      <c r="F66">
        <v>4685</v>
      </c>
      <c r="G66">
        <v>32</v>
      </c>
      <c r="H66">
        <v>32</v>
      </c>
      <c r="I66">
        <v>0.6877283473028154</v>
      </c>
      <c r="J66">
        <v>10</v>
      </c>
      <c r="K66">
        <v>18</v>
      </c>
    </row>
    <row r="67" spans="1:11">
      <c r="A67" t="s">
        <v>17</v>
      </c>
      <c r="B67">
        <v>50</v>
      </c>
      <c r="C67" t="s">
        <v>310</v>
      </c>
      <c r="D67" t="s">
        <v>313</v>
      </c>
      <c r="E67" t="s">
        <v>314</v>
      </c>
      <c r="F67">
        <v>387</v>
      </c>
      <c r="G67">
        <v>31</v>
      </c>
      <c r="H67">
        <v>31</v>
      </c>
      <c r="I67">
        <v>8.7078651685393265</v>
      </c>
      <c r="J67">
        <v>27</v>
      </c>
      <c r="K67">
        <v>28</v>
      </c>
    </row>
    <row r="68" spans="1:11">
      <c r="A68" t="s">
        <v>608</v>
      </c>
      <c r="B68">
        <v>57</v>
      </c>
      <c r="C68" t="s">
        <v>938</v>
      </c>
      <c r="D68" t="s">
        <v>941</v>
      </c>
      <c r="E68" t="s">
        <v>942</v>
      </c>
      <c r="F68">
        <v>530</v>
      </c>
      <c r="G68">
        <v>31</v>
      </c>
      <c r="H68">
        <v>31</v>
      </c>
      <c r="I68">
        <v>6.2124248496993983</v>
      </c>
      <c r="J68">
        <v>12</v>
      </c>
      <c r="K68">
        <v>35</v>
      </c>
    </row>
    <row r="69" spans="1:11">
      <c r="A69" t="s">
        <v>608</v>
      </c>
      <c r="B69">
        <v>39</v>
      </c>
      <c r="C69" t="s">
        <v>832</v>
      </c>
      <c r="D69" t="s">
        <v>835</v>
      </c>
      <c r="E69" t="s">
        <v>836</v>
      </c>
      <c r="F69">
        <v>663</v>
      </c>
      <c r="G69">
        <v>31</v>
      </c>
      <c r="H69">
        <v>31</v>
      </c>
      <c r="I69">
        <v>4.90506329113924</v>
      </c>
      <c r="J69">
        <v>32</v>
      </c>
      <c r="K69">
        <v>37</v>
      </c>
    </row>
    <row r="70" spans="1:11">
      <c r="A70" t="s">
        <v>608</v>
      </c>
      <c r="B70">
        <v>80</v>
      </c>
      <c r="C70" t="s">
        <v>1068</v>
      </c>
      <c r="D70" t="s">
        <v>1071</v>
      </c>
      <c r="E70" t="s">
        <v>1072</v>
      </c>
      <c r="F70">
        <v>1221</v>
      </c>
      <c r="G70">
        <v>31</v>
      </c>
      <c r="H70">
        <v>31</v>
      </c>
      <c r="I70">
        <v>2.6050420168067232</v>
      </c>
      <c r="J70">
        <v>175</v>
      </c>
      <c r="K70">
        <v>57</v>
      </c>
    </row>
    <row r="71" spans="1:11">
      <c r="A71" t="s">
        <v>608</v>
      </c>
      <c r="B71">
        <v>35</v>
      </c>
      <c r="C71" t="s">
        <v>809</v>
      </c>
      <c r="D71" t="s">
        <v>812</v>
      </c>
      <c r="E71" t="s">
        <v>813</v>
      </c>
      <c r="F71">
        <v>1885</v>
      </c>
      <c r="G71">
        <v>30</v>
      </c>
      <c r="H71">
        <v>30</v>
      </c>
      <c r="I71">
        <v>1.617250673854447</v>
      </c>
      <c r="J71">
        <v>43</v>
      </c>
      <c r="K71">
        <v>90</v>
      </c>
    </row>
    <row r="72" spans="1:11">
      <c r="A72" t="s">
        <v>608</v>
      </c>
      <c r="B72">
        <v>95</v>
      </c>
      <c r="C72" t="s">
        <v>1154</v>
      </c>
      <c r="D72" t="s">
        <v>1157</v>
      </c>
      <c r="E72" t="s">
        <v>1158</v>
      </c>
      <c r="F72">
        <v>894</v>
      </c>
      <c r="G72">
        <v>29</v>
      </c>
      <c r="H72">
        <v>29</v>
      </c>
      <c r="I72">
        <v>3.352601156069364</v>
      </c>
      <c r="J72">
        <v>24</v>
      </c>
      <c r="K72">
        <v>26</v>
      </c>
    </row>
    <row r="73" spans="1:11">
      <c r="A73" t="s">
        <v>608</v>
      </c>
      <c r="B73">
        <v>53</v>
      </c>
      <c r="C73" t="s">
        <v>914</v>
      </c>
      <c r="D73" t="s">
        <v>917</v>
      </c>
      <c r="E73" t="s">
        <v>918</v>
      </c>
      <c r="F73">
        <v>497</v>
      </c>
      <c r="G73">
        <v>29</v>
      </c>
      <c r="H73">
        <v>29</v>
      </c>
      <c r="I73">
        <v>6.1965811965811968</v>
      </c>
      <c r="J73">
        <v>22</v>
      </c>
      <c r="K73">
        <v>30</v>
      </c>
    </row>
    <row r="74" spans="1:11">
      <c r="A74" t="s">
        <v>608</v>
      </c>
      <c r="B74">
        <v>86</v>
      </c>
      <c r="C74" t="s">
        <v>1103</v>
      </c>
      <c r="D74" t="s">
        <v>1105</v>
      </c>
      <c r="E74" t="s">
        <v>1106</v>
      </c>
      <c r="F74">
        <v>2559</v>
      </c>
      <c r="G74">
        <v>28</v>
      </c>
      <c r="H74">
        <v>28</v>
      </c>
      <c r="I74">
        <v>1.1062821019359941</v>
      </c>
      <c r="J74">
        <v>111</v>
      </c>
      <c r="K74">
        <v>96</v>
      </c>
    </row>
    <row r="75" spans="1:11">
      <c r="A75" t="s">
        <v>17</v>
      </c>
      <c r="B75">
        <v>38</v>
      </c>
      <c r="C75" t="s">
        <v>240</v>
      </c>
      <c r="D75" t="s">
        <v>242</v>
      </c>
      <c r="E75" t="s">
        <v>243</v>
      </c>
      <c r="F75">
        <v>1675</v>
      </c>
      <c r="G75">
        <v>28</v>
      </c>
      <c r="H75">
        <v>28</v>
      </c>
      <c r="I75">
        <v>1.700060716454159</v>
      </c>
      <c r="J75">
        <v>22</v>
      </c>
      <c r="K75">
        <v>24</v>
      </c>
    </row>
    <row r="76" spans="1:11">
      <c r="A76" t="s">
        <v>608</v>
      </c>
      <c r="B76">
        <v>61</v>
      </c>
      <c r="C76" t="s">
        <v>960</v>
      </c>
      <c r="D76" t="s">
        <v>962</v>
      </c>
      <c r="E76" t="s">
        <v>963</v>
      </c>
      <c r="F76">
        <v>308</v>
      </c>
      <c r="G76">
        <v>28</v>
      </c>
      <c r="H76">
        <v>28</v>
      </c>
      <c r="I76">
        <v>10</v>
      </c>
      <c r="J76">
        <v>14</v>
      </c>
      <c r="K76">
        <v>15</v>
      </c>
    </row>
    <row r="77" spans="1:11">
      <c r="A77" t="s">
        <v>608</v>
      </c>
      <c r="B77">
        <v>48</v>
      </c>
      <c r="C77" t="s">
        <v>886</v>
      </c>
      <c r="D77" t="s">
        <v>888</v>
      </c>
      <c r="E77" t="s">
        <v>889</v>
      </c>
      <c r="F77">
        <v>3792</v>
      </c>
      <c r="G77">
        <v>28</v>
      </c>
      <c r="H77">
        <v>28</v>
      </c>
      <c r="I77">
        <v>0.74388947927736448</v>
      </c>
      <c r="J77">
        <v>55</v>
      </c>
      <c r="K77">
        <v>60</v>
      </c>
    </row>
    <row r="78" spans="1:11">
      <c r="A78" t="s">
        <v>608</v>
      </c>
      <c r="B78">
        <v>46</v>
      </c>
      <c r="C78" t="s">
        <v>874</v>
      </c>
      <c r="D78" t="s">
        <v>877</v>
      </c>
      <c r="E78" t="s">
        <v>878</v>
      </c>
      <c r="F78">
        <v>1308</v>
      </c>
      <c r="G78">
        <v>28</v>
      </c>
      <c r="H78">
        <v>28</v>
      </c>
      <c r="I78">
        <v>2.1875</v>
      </c>
      <c r="J78">
        <v>47</v>
      </c>
      <c r="K78">
        <v>63</v>
      </c>
    </row>
    <row r="79" spans="1:11">
      <c r="A79" t="s">
        <v>608</v>
      </c>
      <c r="B79">
        <v>29</v>
      </c>
      <c r="C79" t="s">
        <v>774</v>
      </c>
      <c r="D79" t="s">
        <v>777</v>
      </c>
      <c r="E79" t="s">
        <v>778</v>
      </c>
      <c r="F79">
        <v>2478</v>
      </c>
      <c r="G79">
        <v>28</v>
      </c>
      <c r="H79">
        <v>28</v>
      </c>
      <c r="I79">
        <v>1.142857142857143</v>
      </c>
      <c r="J79">
        <v>207</v>
      </c>
      <c r="K79">
        <v>116</v>
      </c>
    </row>
    <row r="80" spans="1:11">
      <c r="A80" t="s">
        <v>17</v>
      </c>
      <c r="B80">
        <v>18</v>
      </c>
      <c r="C80" t="s">
        <v>122</v>
      </c>
      <c r="D80" t="s">
        <v>125</v>
      </c>
      <c r="E80" t="s">
        <v>126</v>
      </c>
      <c r="F80">
        <v>665</v>
      </c>
      <c r="G80">
        <v>28</v>
      </c>
      <c r="H80">
        <v>28</v>
      </c>
      <c r="I80">
        <v>4.395604395604396</v>
      </c>
      <c r="J80">
        <v>15</v>
      </c>
      <c r="K80">
        <v>16</v>
      </c>
    </row>
    <row r="81" spans="1:11">
      <c r="A81" t="s">
        <v>608</v>
      </c>
      <c r="B81">
        <v>100</v>
      </c>
      <c r="C81" t="s">
        <v>1183</v>
      </c>
      <c r="D81" t="s">
        <v>1186</v>
      </c>
      <c r="E81" t="s">
        <v>1187</v>
      </c>
      <c r="F81">
        <v>428</v>
      </c>
      <c r="G81">
        <v>27</v>
      </c>
      <c r="H81">
        <v>27</v>
      </c>
      <c r="I81">
        <v>6.7331670822942637</v>
      </c>
      <c r="J81">
        <v>13</v>
      </c>
      <c r="K81">
        <v>17</v>
      </c>
    </row>
    <row r="82" spans="1:11">
      <c r="A82" t="s">
        <v>17</v>
      </c>
      <c r="B82">
        <v>28</v>
      </c>
      <c r="C82" t="s">
        <v>181</v>
      </c>
      <c r="D82" t="s">
        <v>184</v>
      </c>
      <c r="E82" t="s">
        <v>185</v>
      </c>
      <c r="F82">
        <v>693</v>
      </c>
      <c r="G82">
        <v>26</v>
      </c>
      <c r="H82">
        <v>26</v>
      </c>
      <c r="I82">
        <v>3.898050974512743</v>
      </c>
      <c r="J82">
        <v>21</v>
      </c>
      <c r="K82">
        <v>91</v>
      </c>
    </row>
    <row r="83" spans="1:11">
      <c r="A83" t="s">
        <v>608</v>
      </c>
      <c r="B83">
        <v>14</v>
      </c>
      <c r="C83" t="s">
        <v>685</v>
      </c>
      <c r="D83" t="s">
        <v>688</v>
      </c>
      <c r="E83" t="s">
        <v>689</v>
      </c>
      <c r="F83">
        <v>1324</v>
      </c>
      <c r="G83">
        <v>26</v>
      </c>
      <c r="H83">
        <v>26</v>
      </c>
      <c r="I83">
        <v>2.0030816640986129</v>
      </c>
      <c r="J83">
        <v>1007</v>
      </c>
      <c r="K83">
        <v>559</v>
      </c>
    </row>
    <row r="84" spans="1:11">
      <c r="A84" t="s">
        <v>608</v>
      </c>
      <c r="B84">
        <v>30</v>
      </c>
      <c r="C84" t="s">
        <v>780</v>
      </c>
      <c r="D84" t="s">
        <v>783</v>
      </c>
      <c r="E84" t="s">
        <v>784</v>
      </c>
      <c r="F84">
        <v>3277</v>
      </c>
      <c r="G84">
        <v>25</v>
      </c>
      <c r="H84">
        <v>25</v>
      </c>
      <c r="I84">
        <v>0.76875768757687579</v>
      </c>
      <c r="J84">
        <v>58</v>
      </c>
      <c r="K84">
        <v>92</v>
      </c>
    </row>
    <row r="85" spans="1:11">
      <c r="A85" t="s">
        <v>17</v>
      </c>
      <c r="B85">
        <v>70</v>
      </c>
      <c r="C85" t="s">
        <v>427</v>
      </c>
      <c r="D85" t="s">
        <v>430</v>
      </c>
      <c r="E85" t="s">
        <v>431</v>
      </c>
      <c r="F85">
        <v>85</v>
      </c>
      <c r="G85">
        <v>24</v>
      </c>
      <c r="H85">
        <v>24</v>
      </c>
      <c r="I85">
        <v>39.344262295081968</v>
      </c>
      <c r="J85">
        <v>5</v>
      </c>
      <c r="K85">
        <v>6</v>
      </c>
    </row>
    <row r="86" spans="1:11">
      <c r="A86" t="s">
        <v>608</v>
      </c>
      <c r="B86">
        <v>70</v>
      </c>
      <c r="C86" t="s">
        <v>1013</v>
      </c>
      <c r="D86" t="s">
        <v>1015</v>
      </c>
      <c r="E86" t="s">
        <v>1016</v>
      </c>
      <c r="F86">
        <v>1252</v>
      </c>
      <c r="G86">
        <v>24</v>
      </c>
      <c r="H86">
        <v>24</v>
      </c>
      <c r="I86">
        <v>1.954397394136808</v>
      </c>
      <c r="J86">
        <v>27</v>
      </c>
      <c r="K86">
        <v>25</v>
      </c>
    </row>
    <row r="87" spans="1:11">
      <c r="A87" t="s">
        <v>608</v>
      </c>
      <c r="B87">
        <v>88</v>
      </c>
      <c r="C87" t="s">
        <v>1114</v>
      </c>
      <c r="D87" t="s">
        <v>1117</v>
      </c>
      <c r="E87" t="s">
        <v>1118</v>
      </c>
      <c r="F87">
        <v>568</v>
      </c>
      <c r="G87">
        <v>23</v>
      </c>
      <c r="H87">
        <v>23</v>
      </c>
      <c r="I87">
        <v>4.2201834862385326</v>
      </c>
      <c r="J87">
        <v>52</v>
      </c>
      <c r="K87">
        <v>56</v>
      </c>
    </row>
    <row r="88" spans="1:11">
      <c r="A88" t="s">
        <v>608</v>
      </c>
      <c r="B88">
        <v>94</v>
      </c>
      <c r="C88" t="s">
        <v>1148</v>
      </c>
      <c r="D88" t="s">
        <v>1151</v>
      </c>
      <c r="E88" t="s">
        <v>1152</v>
      </c>
      <c r="F88">
        <v>617</v>
      </c>
      <c r="G88">
        <v>23</v>
      </c>
      <c r="H88">
        <v>23</v>
      </c>
      <c r="I88">
        <v>3.872053872053872</v>
      </c>
      <c r="J88">
        <v>27</v>
      </c>
      <c r="K88">
        <v>31</v>
      </c>
    </row>
    <row r="89" spans="1:11">
      <c r="A89" t="s">
        <v>608</v>
      </c>
      <c r="B89">
        <v>60</v>
      </c>
      <c r="C89" t="s">
        <v>954</v>
      </c>
      <c r="D89" t="s">
        <v>957</v>
      </c>
      <c r="E89" t="s">
        <v>958</v>
      </c>
      <c r="F89">
        <v>12573</v>
      </c>
      <c r="G89">
        <v>23</v>
      </c>
      <c r="H89">
        <v>23</v>
      </c>
      <c r="I89">
        <v>0.18326693227091631</v>
      </c>
      <c r="J89">
        <v>15</v>
      </c>
      <c r="K89">
        <v>31</v>
      </c>
    </row>
    <row r="90" spans="1:11">
      <c r="A90" t="s">
        <v>17</v>
      </c>
      <c r="B90">
        <v>30</v>
      </c>
      <c r="C90" t="s">
        <v>193</v>
      </c>
      <c r="D90" t="s">
        <v>195</v>
      </c>
      <c r="E90" t="s">
        <v>196</v>
      </c>
      <c r="F90">
        <v>144</v>
      </c>
      <c r="G90">
        <v>23</v>
      </c>
      <c r="H90">
        <v>23</v>
      </c>
      <c r="I90">
        <v>19.008264462809919</v>
      </c>
      <c r="J90">
        <v>5</v>
      </c>
      <c r="K90">
        <v>8</v>
      </c>
    </row>
    <row r="91" spans="1:11">
      <c r="A91" t="s">
        <v>608</v>
      </c>
      <c r="B91">
        <v>81</v>
      </c>
      <c r="C91" t="s">
        <v>1074</v>
      </c>
      <c r="D91" t="s">
        <v>1077</v>
      </c>
      <c r="E91" t="s">
        <v>1078</v>
      </c>
      <c r="F91">
        <v>772</v>
      </c>
      <c r="G91">
        <v>23</v>
      </c>
      <c r="H91">
        <v>23</v>
      </c>
      <c r="I91">
        <v>3.0707610146862478</v>
      </c>
      <c r="J91">
        <v>29</v>
      </c>
      <c r="K91">
        <v>25</v>
      </c>
    </row>
    <row r="92" spans="1:11">
      <c r="A92" t="s">
        <v>17</v>
      </c>
      <c r="B92">
        <v>64</v>
      </c>
      <c r="C92" t="s">
        <v>392</v>
      </c>
      <c r="D92" t="s">
        <v>395</v>
      </c>
      <c r="E92" t="s">
        <v>396</v>
      </c>
      <c r="F92">
        <v>1270</v>
      </c>
      <c r="G92">
        <v>23</v>
      </c>
      <c r="H92">
        <v>23</v>
      </c>
      <c r="I92">
        <v>1.8444266238973539</v>
      </c>
      <c r="J92">
        <v>132</v>
      </c>
      <c r="K92">
        <v>134</v>
      </c>
    </row>
    <row r="93" spans="1:11">
      <c r="A93" t="s">
        <v>17</v>
      </c>
      <c r="B93">
        <v>24</v>
      </c>
      <c r="C93" t="s">
        <v>158</v>
      </c>
      <c r="D93" t="s">
        <v>161</v>
      </c>
      <c r="E93" t="s">
        <v>162</v>
      </c>
      <c r="F93">
        <v>279</v>
      </c>
      <c r="G93">
        <v>22</v>
      </c>
      <c r="H93">
        <v>22</v>
      </c>
      <c r="I93">
        <v>8.5603112840466924</v>
      </c>
      <c r="J93">
        <v>11</v>
      </c>
      <c r="K93">
        <v>13</v>
      </c>
    </row>
    <row r="94" spans="1:11">
      <c r="A94" t="s">
        <v>17</v>
      </c>
      <c r="B94">
        <v>91</v>
      </c>
      <c r="C94" t="s">
        <v>550</v>
      </c>
      <c r="D94" t="s">
        <v>553</v>
      </c>
      <c r="E94" t="s">
        <v>554</v>
      </c>
      <c r="F94">
        <v>1944</v>
      </c>
      <c r="G94">
        <v>22</v>
      </c>
      <c r="H94">
        <v>22</v>
      </c>
      <c r="I94">
        <v>1.1446409989594171</v>
      </c>
      <c r="J94">
        <v>24</v>
      </c>
      <c r="K94">
        <v>56</v>
      </c>
    </row>
    <row r="95" spans="1:11">
      <c r="A95" t="s">
        <v>608</v>
      </c>
      <c r="B95">
        <v>50</v>
      </c>
      <c r="C95" t="s">
        <v>896</v>
      </c>
      <c r="D95" t="s">
        <v>899</v>
      </c>
      <c r="E95" t="s">
        <v>900</v>
      </c>
      <c r="F95">
        <v>627</v>
      </c>
      <c r="G95">
        <v>21</v>
      </c>
      <c r="H95">
        <v>21</v>
      </c>
      <c r="I95">
        <v>3.4653465346534662</v>
      </c>
      <c r="J95">
        <v>31</v>
      </c>
      <c r="K95">
        <v>45</v>
      </c>
    </row>
    <row r="96" spans="1:11">
      <c r="A96" t="s">
        <v>17</v>
      </c>
      <c r="B96">
        <v>37</v>
      </c>
      <c r="C96" t="s">
        <v>234</v>
      </c>
      <c r="D96" t="s">
        <v>237</v>
      </c>
      <c r="E96" t="s">
        <v>238</v>
      </c>
      <c r="F96">
        <v>25341</v>
      </c>
      <c r="G96">
        <v>21</v>
      </c>
      <c r="H96">
        <v>21</v>
      </c>
      <c r="I96">
        <v>8.2938388625592413E-2</v>
      </c>
      <c r="J96">
        <v>288</v>
      </c>
      <c r="K96">
        <v>90</v>
      </c>
    </row>
    <row r="97" spans="1:11">
      <c r="A97" t="s">
        <v>608</v>
      </c>
      <c r="B97">
        <v>44</v>
      </c>
      <c r="C97" t="s">
        <v>862</v>
      </c>
      <c r="D97" t="s">
        <v>865</v>
      </c>
      <c r="E97" t="s">
        <v>866</v>
      </c>
      <c r="F97">
        <v>2169</v>
      </c>
      <c r="G97">
        <v>21</v>
      </c>
      <c r="H97">
        <v>21</v>
      </c>
      <c r="I97">
        <v>0.97765363128491622</v>
      </c>
      <c r="J97">
        <v>86</v>
      </c>
      <c r="K97">
        <v>94</v>
      </c>
    </row>
    <row r="98" spans="1:11">
      <c r="A98" t="s">
        <v>608</v>
      </c>
      <c r="B98">
        <v>56</v>
      </c>
      <c r="C98" t="s">
        <v>932</v>
      </c>
      <c r="D98" t="s">
        <v>935</v>
      </c>
      <c r="E98" t="s">
        <v>936</v>
      </c>
      <c r="F98">
        <v>439</v>
      </c>
      <c r="G98">
        <v>21</v>
      </c>
      <c r="H98">
        <v>21</v>
      </c>
      <c r="I98">
        <v>5.0239234449760763</v>
      </c>
      <c r="J98">
        <v>17</v>
      </c>
      <c r="K98">
        <v>22</v>
      </c>
    </row>
    <row r="99" spans="1:11">
      <c r="A99" t="s">
        <v>17</v>
      </c>
      <c r="B99">
        <v>21</v>
      </c>
      <c r="C99" t="s">
        <v>140</v>
      </c>
      <c r="D99" t="s">
        <v>143</v>
      </c>
      <c r="E99" t="s">
        <v>144</v>
      </c>
      <c r="F99">
        <v>418</v>
      </c>
      <c r="G99">
        <v>21</v>
      </c>
      <c r="H99">
        <v>21</v>
      </c>
      <c r="I99">
        <v>5.2896725440806041</v>
      </c>
      <c r="J99">
        <v>16</v>
      </c>
      <c r="K99">
        <v>25</v>
      </c>
    </row>
    <row r="100" spans="1:11">
      <c r="A100" t="s">
        <v>17</v>
      </c>
      <c r="B100">
        <v>76</v>
      </c>
      <c r="C100" t="s">
        <v>462</v>
      </c>
      <c r="D100" t="s">
        <v>465</v>
      </c>
      <c r="E100" t="s">
        <v>466</v>
      </c>
      <c r="F100">
        <v>7719</v>
      </c>
      <c r="G100">
        <v>21</v>
      </c>
      <c r="H100">
        <v>21</v>
      </c>
      <c r="I100">
        <v>0.27279812938425568</v>
      </c>
      <c r="J100">
        <v>159</v>
      </c>
      <c r="K100">
        <v>62</v>
      </c>
    </row>
    <row r="101" spans="1:11">
      <c r="A101" t="s">
        <v>17</v>
      </c>
      <c r="B101">
        <v>19</v>
      </c>
      <c r="C101" t="s">
        <v>128</v>
      </c>
      <c r="D101" t="s">
        <v>131</v>
      </c>
      <c r="E101" t="s">
        <v>132</v>
      </c>
      <c r="F101">
        <v>7782</v>
      </c>
      <c r="G101">
        <v>21</v>
      </c>
      <c r="H101">
        <v>21</v>
      </c>
      <c r="I101">
        <v>0.27058368766911478</v>
      </c>
      <c r="J101">
        <v>48</v>
      </c>
      <c r="K101">
        <v>60</v>
      </c>
    </row>
    <row r="102" spans="1:11">
      <c r="A102" t="s">
        <v>608</v>
      </c>
      <c r="B102">
        <v>37</v>
      </c>
      <c r="C102" t="s">
        <v>821</v>
      </c>
      <c r="D102" t="s">
        <v>824</v>
      </c>
      <c r="E102" t="s">
        <v>825</v>
      </c>
      <c r="F102">
        <v>8275</v>
      </c>
      <c r="G102">
        <v>21</v>
      </c>
      <c r="H102">
        <v>21</v>
      </c>
      <c r="I102">
        <v>0.25442209837654473</v>
      </c>
      <c r="J102">
        <v>580</v>
      </c>
      <c r="K102">
        <v>93</v>
      </c>
    </row>
    <row r="103" spans="1:11">
      <c r="A103" t="s">
        <v>17</v>
      </c>
      <c r="B103">
        <v>45</v>
      </c>
      <c r="C103" t="s">
        <v>281</v>
      </c>
      <c r="D103" t="s">
        <v>284</v>
      </c>
      <c r="E103" t="s">
        <v>285</v>
      </c>
      <c r="F103">
        <v>873</v>
      </c>
      <c r="G103">
        <v>20</v>
      </c>
      <c r="H103">
        <v>20</v>
      </c>
      <c r="I103">
        <v>2.3446658851113722</v>
      </c>
      <c r="J103">
        <v>50</v>
      </c>
      <c r="K103">
        <v>51</v>
      </c>
    </row>
    <row r="104" spans="1:11">
      <c r="A104" t="s">
        <v>17</v>
      </c>
      <c r="B104">
        <v>12</v>
      </c>
      <c r="C104" t="s">
        <v>87</v>
      </c>
      <c r="D104" t="s">
        <v>90</v>
      </c>
      <c r="E104" t="s">
        <v>91</v>
      </c>
      <c r="F104">
        <v>1590</v>
      </c>
      <c r="G104">
        <v>20</v>
      </c>
      <c r="H104">
        <v>20</v>
      </c>
      <c r="I104">
        <v>1.2738853503184711</v>
      </c>
      <c r="J104">
        <v>27</v>
      </c>
      <c r="K104">
        <v>32</v>
      </c>
    </row>
    <row r="105" spans="1:11">
      <c r="A105" t="s">
        <v>608</v>
      </c>
      <c r="B105">
        <v>79</v>
      </c>
      <c r="C105" t="s">
        <v>1062</v>
      </c>
      <c r="D105" t="s">
        <v>1065</v>
      </c>
      <c r="E105" t="s">
        <v>1066</v>
      </c>
      <c r="F105">
        <v>383</v>
      </c>
      <c r="G105">
        <v>19</v>
      </c>
      <c r="H105">
        <v>19</v>
      </c>
      <c r="I105">
        <v>5.2197802197802199</v>
      </c>
      <c r="J105">
        <v>20</v>
      </c>
      <c r="K105">
        <v>26</v>
      </c>
    </row>
    <row r="106" spans="1:11">
      <c r="A106" t="s">
        <v>608</v>
      </c>
      <c r="B106">
        <v>90</v>
      </c>
      <c r="C106" t="s">
        <v>1125</v>
      </c>
      <c r="D106" t="s">
        <v>1128</v>
      </c>
      <c r="E106" t="s">
        <v>1129</v>
      </c>
      <c r="F106">
        <v>1553</v>
      </c>
      <c r="G106">
        <v>19</v>
      </c>
      <c r="H106">
        <v>19</v>
      </c>
      <c r="I106">
        <v>1.2385919165580179</v>
      </c>
      <c r="J106">
        <v>82</v>
      </c>
      <c r="K106">
        <v>62</v>
      </c>
    </row>
    <row r="107" spans="1:11">
      <c r="A107" t="s">
        <v>608</v>
      </c>
      <c r="B107">
        <v>62</v>
      </c>
      <c r="C107" t="s">
        <v>965</v>
      </c>
      <c r="D107" t="s">
        <v>968</v>
      </c>
      <c r="E107" t="s">
        <v>969</v>
      </c>
      <c r="F107">
        <v>762</v>
      </c>
      <c r="G107">
        <v>19</v>
      </c>
      <c r="H107">
        <v>19</v>
      </c>
      <c r="I107">
        <v>2.5572005383580079</v>
      </c>
      <c r="J107">
        <v>28</v>
      </c>
      <c r="K107">
        <v>30</v>
      </c>
    </row>
    <row r="108" spans="1:11">
      <c r="A108" t="s">
        <v>17</v>
      </c>
      <c r="B108">
        <v>42</v>
      </c>
      <c r="C108" t="s">
        <v>263</v>
      </c>
      <c r="D108" t="s">
        <v>266</v>
      </c>
      <c r="E108" t="s">
        <v>267</v>
      </c>
      <c r="F108">
        <v>1222</v>
      </c>
      <c r="G108">
        <v>19</v>
      </c>
      <c r="H108">
        <v>19</v>
      </c>
      <c r="I108">
        <v>1.579384871155445</v>
      </c>
      <c r="J108">
        <v>77</v>
      </c>
      <c r="K108">
        <v>457</v>
      </c>
    </row>
    <row r="109" spans="1:11">
      <c r="A109" t="s">
        <v>17</v>
      </c>
      <c r="B109">
        <v>53</v>
      </c>
      <c r="C109" t="s">
        <v>328</v>
      </c>
      <c r="D109" t="s">
        <v>331</v>
      </c>
      <c r="E109" t="s">
        <v>332</v>
      </c>
      <c r="F109">
        <v>181</v>
      </c>
      <c r="G109">
        <v>18</v>
      </c>
      <c r="H109">
        <v>18</v>
      </c>
      <c r="I109">
        <v>11.04294478527607</v>
      </c>
      <c r="J109">
        <v>18</v>
      </c>
      <c r="K109">
        <v>39</v>
      </c>
    </row>
    <row r="110" spans="1:11">
      <c r="A110" t="s">
        <v>608</v>
      </c>
      <c r="B110">
        <v>66</v>
      </c>
      <c r="C110" t="s">
        <v>989</v>
      </c>
      <c r="D110" t="s">
        <v>992</v>
      </c>
      <c r="E110" t="s">
        <v>993</v>
      </c>
      <c r="F110">
        <v>790</v>
      </c>
      <c r="G110">
        <v>18</v>
      </c>
      <c r="H110">
        <v>18</v>
      </c>
      <c r="I110">
        <v>2.3316062176165802</v>
      </c>
      <c r="J110">
        <v>52</v>
      </c>
      <c r="K110">
        <v>51</v>
      </c>
    </row>
    <row r="111" spans="1:11">
      <c r="A111" t="s">
        <v>608</v>
      </c>
      <c r="B111">
        <v>96</v>
      </c>
      <c r="C111" t="s">
        <v>1160</v>
      </c>
      <c r="D111" t="s">
        <v>1163</v>
      </c>
      <c r="E111" t="s">
        <v>1164</v>
      </c>
      <c r="F111">
        <v>3234</v>
      </c>
      <c r="G111">
        <v>18</v>
      </c>
      <c r="H111">
        <v>18</v>
      </c>
      <c r="I111">
        <v>0.55970149253731338</v>
      </c>
      <c r="J111">
        <v>55</v>
      </c>
      <c r="K111">
        <v>64</v>
      </c>
    </row>
    <row r="112" spans="1:11">
      <c r="A112" t="s">
        <v>608</v>
      </c>
      <c r="B112">
        <v>47</v>
      </c>
      <c r="C112" t="s">
        <v>880</v>
      </c>
      <c r="D112" t="s">
        <v>883</v>
      </c>
      <c r="E112" t="s">
        <v>884</v>
      </c>
      <c r="F112">
        <v>769</v>
      </c>
      <c r="G112">
        <v>18</v>
      </c>
      <c r="H112">
        <v>18</v>
      </c>
      <c r="I112">
        <v>2.3968042609853528</v>
      </c>
      <c r="J112">
        <v>25</v>
      </c>
      <c r="K112">
        <v>26</v>
      </c>
    </row>
    <row r="113" spans="1:11">
      <c r="A113" t="s">
        <v>17</v>
      </c>
      <c r="B113">
        <v>74</v>
      </c>
      <c r="C113" t="s">
        <v>450</v>
      </c>
      <c r="D113" t="s">
        <v>453</v>
      </c>
      <c r="E113" t="s">
        <v>454</v>
      </c>
      <c r="F113">
        <v>116</v>
      </c>
      <c r="G113">
        <v>18</v>
      </c>
      <c r="H113">
        <v>18</v>
      </c>
      <c r="I113">
        <v>18.367346938775508</v>
      </c>
      <c r="J113">
        <v>7</v>
      </c>
      <c r="K113">
        <v>8</v>
      </c>
    </row>
    <row r="114" spans="1:11">
      <c r="A114" t="s">
        <v>608</v>
      </c>
      <c r="B114">
        <v>63</v>
      </c>
      <c r="C114" t="s">
        <v>971</v>
      </c>
      <c r="D114" t="s">
        <v>974</v>
      </c>
      <c r="E114" t="s">
        <v>975</v>
      </c>
      <c r="F114">
        <v>7737</v>
      </c>
      <c r="G114">
        <v>17</v>
      </c>
      <c r="H114">
        <v>17</v>
      </c>
      <c r="I114">
        <v>0.22020725388601031</v>
      </c>
      <c r="J114">
        <v>980</v>
      </c>
      <c r="K114">
        <v>490</v>
      </c>
    </row>
    <row r="115" spans="1:11">
      <c r="A115" t="s">
        <v>608</v>
      </c>
      <c r="B115">
        <v>67</v>
      </c>
      <c r="C115" t="s">
        <v>995</v>
      </c>
      <c r="D115" t="s">
        <v>998</v>
      </c>
      <c r="E115" t="s">
        <v>999</v>
      </c>
      <c r="F115">
        <v>479</v>
      </c>
      <c r="G115">
        <v>17</v>
      </c>
      <c r="H115">
        <v>17</v>
      </c>
      <c r="I115">
        <v>3.6796536796536801</v>
      </c>
      <c r="J115">
        <v>13</v>
      </c>
      <c r="K115">
        <v>10</v>
      </c>
    </row>
    <row r="116" spans="1:11">
      <c r="A116" t="s">
        <v>608</v>
      </c>
      <c r="B116">
        <v>76</v>
      </c>
      <c r="C116" t="s">
        <v>1047</v>
      </c>
      <c r="D116" t="s">
        <v>1050</v>
      </c>
      <c r="F116">
        <v>111</v>
      </c>
      <c r="G116">
        <v>17</v>
      </c>
      <c r="H116">
        <v>17</v>
      </c>
      <c r="I116">
        <v>18.085106382978729</v>
      </c>
      <c r="J116">
        <v>5</v>
      </c>
      <c r="K116">
        <v>2</v>
      </c>
    </row>
    <row r="117" spans="1:11">
      <c r="A117" t="s">
        <v>608</v>
      </c>
      <c r="B117">
        <v>59</v>
      </c>
      <c r="C117" t="s">
        <v>949</v>
      </c>
      <c r="D117" t="s">
        <v>951</v>
      </c>
      <c r="E117" t="s">
        <v>952</v>
      </c>
      <c r="F117">
        <v>321</v>
      </c>
      <c r="G117">
        <v>17</v>
      </c>
      <c r="H117">
        <v>17</v>
      </c>
      <c r="I117">
        <v>5.5921052631578947</v>
      </c>
      <c r="J117">
        <v>23</v>
      </c>
      <c r="K117">
        <v>24</v>
      </c>
    </row>
    <row r="118" spans="1:11">
      <c r="A118" t="s">
        <v>608</v>
      </c>
      <c r="B118">
        <v>74</v>
      </c>
      <c r="C118" t="s">
        <v>1035</v>
      </c>
      <c r="D118" t="s">
        <v>1038</v>
      </c>
      <c r="E118" t="s">
        <v>1039</v>
      </c>
      <c r="F118">
        <v>440</v>
      </c>
      <c r="G118">
        <v>16</v>
      </c>
      <c r="H118">
        <v>16</v>
      </c>
      <c r="I118">
        <v>3.773584905660377</v>
      </c>
      <c r="J118">
        <v>24</v>
      </c>
      <c r="K118">
        <v>28</v>
      </c>
    </row>
    <row r="119" spans="1:11">
      <c r="A119" t="s">
        <v>608</v>
      </c>
      <c r="B119">
        <v>78</v>
      </c>
      <c r="C119" t="s">
        <v>1057</v>
      </c>
      <c r="D119" t="s">
        <v>1059</v>
      </c>
      <c r="E119" t="s">
        <v>1060</v>
      </c>
      <c r="F119">
        <v>301</v>
      </c>
      <c r="G119">
        <v>16</v>
      </c>
      <c r="H119">
        <v>16</v>
      </c>
      <c r="I119">
        <v>5.6140350877192979</v>
      </c>
      <c r="J119">
        <v>15</v>
      </c>
      <c r="K119">
        <v>15</v>
      </c>
    </row>
    <row r="120" spans="1:11">
      <c r="A120" t="s">
        <v>17</v>
      </c>
      <c r="B120">
        <v>43</v>
      </c>
      <c r="C120" t="s">
        <v>269</v>
      </c>
      <c r="D120" t="s">
        <v>272</v>
      </c>
      <c r="E120" t="s">
        <v>273</v>
      </c>
      <c r="F120">
        <v>8180</v>
      </c>
      <c r="G120">
        <v>16</v>
      </c>
      <c r="H120">
        <v>16</v>
      </c>
      <c r="I120">
        <v>0.1959823615874571</v>
      </c>
      <c r="J120">
        <v>60</v>
      </c>
      <c r="K120">
        <v>96</v>
      </c>
    </row>
    <row r="121" spans="1:11">
      <c r="A121" t="s">
        <v>17</v>
      </c>
      <c r="B121">
        <v>67</v>
      </c>
      <c r="C121" t="s">
        <v>409</v>
      </c>
      <c r="D121" t="s">
        <v>412</v>
      </c>
      <c r="E121" t="s">
        <v>413</v>
      </c>
      <c r="F121">
        <v>1886</v>
      </c>
      <c r="G121">
        <v>16</v>
      </c>
      <c r="H121">
        <v>16</v>
      </c>
      <c r="I121">
        <v>0.85561497326203206</v>
      </c>
      <c r="J121">
        <v>88</v>
      </c>
      <c r="K121">
        <v>48</v>
      </c>
    </row>
    <row r="122" spans="1:11">
      <c r="A122" t="s">
        <v>17</v>
      </c>
      <c r="B122">
        <v>81</v>
      </c>
      <c r="C122" t="s">
        <v>491</v>
      </c>
      <c r="D122" t="s">
        <v>494</v>
      </c>
      <c r="E122" t="s">
        <v>495</v>
      </c>
      <c r="F122">
        <v>1001</v>
      </c>
      <c r="G122">
        <v>15</v>
      </c>
      <c r="H122">
        <v>15</v>
      </c>
      <c r="I122">
        <v>1.521298174442191</v>
      </c>
      <c r="J122">
        <v>58</v>
      </c>
      <c r="K122">
        <v>73</v>
      </c>
    </row>
    <row r="123" spans="1:11">
      <c r="A123" t="s">
        <v>17</v>
      </c>
      <c r="B123">
        <v>88</v>
      </c>
      <c r="C123" t="s">
        <v>532</v>
      </c>
      <c r="D123" t="s">
        <v>535</v>
      </c>
      <c r="E123" t="s">
        <v>536</v>
      </c>
      <c r="F123">
        <v>2327</v>
      </c>
      <c r="G123">
        <v>15</v>
      </c>
      <c r="H123">
        <v>15</v>
      </c>
      <c r="I123">
        <v>0.64878892733564009</v>
      </c>
      <c r="J123">
        <v>78</v>
      </c>
      <c r="K123">
        <v>84</v>
      </c>
    </row>
    <row r="124" spans="1:11">
      <c r="A124" t="s">
        <v>17</v>
      </c>
      <c r="B124">
        <v>95</v>
      </c>
      <c r="C124" t="s">
        <v>572</v>
      </c>
      <c r="D124" t="s">
        <v>575</v>
      </c>
      <c r="E124" t="s">
        <v>576</v>
      </c>
      <c r="F124">
        <v>266</v>
      </c>
      <c r="G124">
        <v>15</v>
      </c>
      <c r="H124">
        <v>15</v>
      </c>
      <c r="I124">
        <v>5.9760956175298796</v>
      </c>
      <c r="J124">
        <v>17</v>
      </c>
      <c r="K124">
        <v>22</v>
      </c>
    </row>
    <row r="125" spans="1:11">
      <c r="A125" t="s">
        <v>608</v>
      </c>
      <c r="B125">
        <v>45</v>
      </c>
      <c r="C125" t="s">
        <v>868</v>
      </c>
      <c r="D125" t="s">
        <v>871</v>
      </c>
      <c r="E125" t="s">
        <v>872</v>
      </c>
      <c r="F125">
        <v>11377</v>
      </c>
      <c r="G125">
        <v>15</v>
      </c>
      <c r="H125">
        <v>15</v>
      </c>
      <c r="I125">
        <v>0.13201901073754621</v>
      </c>
      <c r="J125">
        <v>1573</v>
      </c>
      <c r="K125">
        <v>175</v>
      </c>
    </row>
    <row r="126" spans="1:11">
      <c r="A126" t="s">
        <v>17</v>
      </c>
      <c r="B126">
        <v>32</v>
      </c>
      <c r="C126" t="s">
        <v>204</v>
      </c>
      <c r="D126" t="s">
        <v>207</v>
      </c>
      <c r="E126" t="s">
        <v>208</v>
      </c>
      <c r="F126">
        <v>1851</v>
      </c>
      <c r="G126">
        <v>15</v>
      </c>
      <c r="H126">
        <v>15</v>
      </c>
      <c r="I126">
        <v>0.81699346405228768</v>
      </c>
      <c r="J126">
        <v>489</v>
      </c>
      <c r="K126">
        <v>259</v>
      </c>
    </row>
    <row r="127" spans="1:11">
      <c r="A127" t="s">
        <v>17</v>
      </c>
      <c r="B127">
        <v>94</v>
      </c>
      <c r="C127" t="s">
        <v>566</v>
      </c>
      <c r="D127" t="s">
        <v>569</v>
      </c>
      <c r="E127" t="s">
        <v>570</v>
      </c>
      <c r="F127">
        <v>381</v>
      </c>
      <c r="G127">
        <v>14</v>
      </c>
      <c r="H127">
        <v>14</v>
      </c>
      <c r="I127">
        <v>3.814713896457766</v>
      </c>
      <c r="J127">
        <v>33</v>
      </c>
      <c r="K127">
        <v>67</v>
      </c>
    </row>
    <row r="128" spans="1:11">
      <c r="A128" t="s">
        <v>17</v>
      </c>
      <c r="B128">
        <v>33</v>
      </c>
      <c r="C128" t="s">
        <v>210</v>
      </c>
      <c r="D128" t="s">
        <v>213</v>
      </c>
      <c r="E128" t="s">
        <v>214</v>
      </c>
      <c r="F128">
        <v>1497</v>
      </c>
      <c r="G128">
        <v>14</v>
      </c>
      <c r="H128">
        <v>14</v>
      </c>
      <c r="I128">
        <v>0.94403236682400538</v>
      </c>
      <c r="J128">
        <v>38</v>
      </c>
      <c r="K128">
        <v>48</v>
      </c>
    </row>
    <row r="129" spans="1:11">
      <c r="A129" t="s">
        <v>17</v>
      </c>
      <c r="B129">
        <v>36</v>
      </c>
      <c r="C129" t="s">
        <v>228</v>
      </c>
      <c r="D129" t="s">
        <v>231</v>
      </c>
      <c r="E129" t="s">
        <v>232</v>
      </c>
      <c r="F129">
        <v>434</v>
      </c>
      <c r="G129">
        <v>14</v>
      </c>
      <c r="H129">
        <v>14</v>
      </c>
      <c r="I129">
        <v>3.333333333333333</v>
      </c>
      <c r="J129">
        <v>23</v>
      </c>
      <c r="K129">
        <v>27</v>
      </c>
    </row>
    <row r="130" spans="1:11">
      <c r="A130" t="s">
        <v>608</v>
      </c>
      <c r="B130">
        <v>77</v>
      </c>
      <c r="C130" t="s">
        <v>1052</v>
      </c>
      <c r="D130" t="s">
        <v>1054</v>
      </c>
      <c r="E130" t="s">
        <v>1055</v>
      </c>
      <c r="F130">
        <v>291</v>
      </c>
      <c r="G130">
        <v>14</v>
      </c>
      <c r="H130">
        <v>14</v>
      </c>
      <c r="I130">
        <v>5.0541516245487363</v>
      </c>
      <c r="J130">
        <v>11</v>
      </c>
      <c r="K130">
        <v>12</v>
      </c>
    </row>
    <row r="131" spans="1:11">
      <c r="A131" t="s">
        <v>17</v>
      </c>
      <c r="B131">
        <v>35</v>
      </c>
      <c r="C131" t="s">
        <v>222</v>
      </c>
      <c r="D131" t="s">
        <v>225</v>
      </c>
      <c r="E131" t="s">
        <v>226</v>
      </c>
      <c r="F131">
        <v>489</v>
      </c>
      <c r="G131">
        <v>14</v>
      </c>
      <c r="H131">
        <v>14</v>
      </c>
      <c r="I131">
        <v>2.947368421052631</v>
      </c>
      <c r="J131">
        <v>31</v>
      </c>
      <c r="K131">
        <v>21</v>
      </c>
    </row>
    <row r="132" spans="1:11">
      <c r="A132" t="s">
        <v>608</v>
      </c>
      <c r="B132">
        <v>42</v>
      </c>
      <c r="C132" t="s">
        <v>850</v>
      </c>
      <c r="D132" t="s">
        <v>853</v>
      </c>
      <c r="E132" t="s">
        <v>854</v>
      </c>
      <c r="F132">
        <v>1206</v>
      </c>
      <c r="G132">
        <v>14</v>
      </c>
      <c r="H132">
        <v>14</v>
      </c>
      <c r="I132">
        <v>1.174496644295302</v>
      </c>
      <c r="J132">
        <v>30</v>
      </c>
      <c r="K132">
        <v>40</v>
      </c>
    </row>
    <row r="133" spans="1:11">
      <c r="A133" t="s">
        <v>608</v>
      </c>
      <c r="B133">
        <v>52</v>
      </c>
      <c r="C133" t="s">
        <v>908</v>
      </c>
      <c r="D133" t="s">
        <v>911</v>
      </c>
      <c r="E133" t="s">
        <v>912</v>
      </c>
      <c r="F133">
        <v>320</v>
      </c>
      <c r="G133">
        <v>14</v>
      </c>
      <c r="H133">
        <v>14</v>
      </c>
      <c r="I133">
        <v>4.5751633986928102</v>
      </c>
      <c r="J133">
        <v>12</v>
      </c>
      <c r="K133">
        <v>18</v>
      </c>
    </row>
    <row r="134" spans="1:11">
      <c r="A134" t="s">
        <v>17</v>
      </c>
      <c r="B134">
        <v>46</v>
      </c>
      <c r="C134" t="s">
        <v>287</v>
      </c>
      <c r="D134" t="s">
        <v>290</v>
      </c>
      <c r="E134" t="s">
        <v>291</v>
      </c>
      <c r="F134">
        <v>226</v>
      </c>
      <c r="G134">
        <v>14</v>
      </c>
      <c r="H134">
        <v>14</v>
      </c>
      <c r="I134">
        <v>6.6037735849056602</v>
      </c>
      <c r="J134">
        <v>9</v>
      </c>
      <c r="K134">
        <v>9</v>
      </c>
    </row>
    <row r="135" spans="1:11">
      <c r="A135" t="s">
        <v>608</v>
      </c>
      <c r="B135">
        <v>82</v>
      </c>
      <c r="C135" t="s">
        <v>1080</v>
      </c>
      <c r="D135" t="s">
        <v>1083</v>
      </c>
      <c r="E135" t="s">
        <v>1084</v>
      </c>
      <c r="F135">
        <v>21592</v>
      </c>
      <c r="G135">
        <v>13</v>
      </c>
      <c r="H135">
        <v>13</v>
      </c>
      <c r="I135">
        <v>6.0243755503035352E-2</v>
      </c>
      <c r="J135">
        <v>883</v>
      </c>
      <c r="K135">
        <v>304</v>
      </c>
    </row>
    <row r="136" spans="1:11">
      <c r="A136" t="s">
        <v>608</v>
      </c>
      <c r="B136">
        <v>69</v>
      </c>
      <c r="C136" t="s">
        <v>1007</v>
      </c>
      <c r="D136" t="s">
        <v>1010</v>
      </c>
      <c r="E136" t="s">
        <v>1011</v>
      </c>
      <c r="F136">
        <v>2822</v>
      </c>
      <c r="G136">
        <v>13</v>
      </c>
      <c r="H136">
        <v>13</v>
      </c>
      <c r="I136">
        <v>0.46279814880740477</v>
      </c>
      <c r="J136">
        <v>64</v>
      </c>
      <c r="K136">
        <v>62</v>
      </c>
    </row>
    <row r="137" spans="1:11">
      <c r="A137" t="s">
        <v>608</v>
      </c>
      <c r="B137">
        <v>28</v>
      </c>
      <c r="C137" t="s">
        <v>768</v>
      </c>
      <c r="D137" t="s">
        <v>771</v>
      </c>
      <c r="E137" t="s">
        <v>772</v>
      </c>
      <c r="F137">
        <v>1823</v>
      </c>
      <c r="G137">
        <v>13</v>
      </c>
      <c r="H137">
        <v>13</v>
      </c>
      <c r="I137">
        <v>0.71823204419889508</v>
      </c>
      <c r="J137">
        <v>27</v>
      </c>
      <c r="K137">
        <v>117</v>
      </c>
    </row>
    <row r="138" spans="1:11">
      <c r="A138" t="s">
        <v>608</v>
      </c>
      <c r="B138">
        <v>68</v>
      </c>
      <c r="C138" t="s">
        <v>1001</v>
      </c>
      <c r="D138" t="s">
        <v>1004</v>
      </c>
      <c r="E138" t="s">
        <v>1005</v>
      </c>
      <c r="F138">
        <v>3586</v>
      </c>
      <c r="G138">
        <v>13</v>
      </c>
      <c r="H138">
        <v>13</v>
      </c>
      <c r="I138">
        <v>0.36383991043940672</v>
      </c>
      <c r="J138">
        <v>42</v>
      </c>
      <c r="K138">
        <v>41</v>
      </c>
    </row>
    <row r="139" spans="1:11">
      <c r="A139" t="s">
        <v>608</v>
      </c>
      <c r="B139">
        <v>72</v>
      </c>
      <c r="C139" t="s">
        <v>1024</v>
      </c>
      <c r="D139" t="s">
        <v>1027</v>
      </c>
      <c r="E139" t="s">
        <v>1028</v>
      </c>
      <c r="F139">
        <v>136</v>
      </c>
      <c r="G139">
        <v>13</v>
      </c>
      <c r="H139">
        <v>13</v>
      </c>
      <c r="I139">
        <v>10.56910569105691</v>
      </c>
      <c r="J139">
        <v>51</v>
      </c>
      <c r="K139">
        <v>60</v>
      </c>
    </row>
    <row r="140" spans="1:11">
      <c r="A140" t="s">
        <v>17</v>
      </c>
      <c r="B140">
        <v>39</v>
      </c>
      <c r="C140" t="s">
        <v>245</v>
      </c>
      <c r="D140" t="s">
        <v>248</v>
      </c>
      <c r="E140" t="s">
        <v>249</v>
      </c>
      <c r="F140">
        <v>2940</v>
      </c>
      <c r="G140">
        <v>13</v>
      </c>
      <c r="H140">
        <v>13</v>
      </c>
      <c r="I140">
        <v>0.44414075845575679</v>
      </c>
      <c r="J140">
        <v>53</v>
      </c>
      <c r="K140">
        <v>19</v>
      </c>
    </row>
    <row r="141" spans="1:11">
      <c r="A141" t="s">
        <v>608</v>
      </c>
      <c r="B141">
        <v>49</v>
      </c>
      <c r="C141" t="s">
        <v>891</v>
      </c>
      <c r="D141" t="s">
        <v>893</v>
      </c>
      <c r="E141" t="s">
        <v>894</v>
      </c>
      <c r="F141">
        <v>294</v>
      </c>
      <c r="G141">
        <v>12</v>
      </c>
      <c r="H141">
        <v>12</v>
      </c>
      <c r="I141">
        <v>4.2553191489361701</v>
      </c>
      <c r="J141">
        <v>9</v>
      </c>
      <c r="K141">
        <v>17</v>
      </c>
    </row>
    <row r="142" spans="1:11">
      <c r="A142" t="s">
        <v>608</v>
      </c>
      <c r="B142">
        <v>92</v>
      </c>
      <c r="C142" t="s">
        <v>1136</v>
      </c>
      <c r="D142" t="s">
        <v>1139</v>
      </c>
      <c r="E142" t="s">
        <v>1140</v>
      </c>
      <c r="F142">
        <v>28194</v>
      </c>
      <c r="G142">
        <v>12</v>
      </c>
      <c r="H142">
        <v>12</v>
      </c>
      <c r="I142">
        <v>4.2580370449222908E-2</v>
      </c>
      <c r="J142">
        <v>209</v>
      </c>
      <c r="K142">
        <v>204</v>
      </c>
    </row>
    <row r="143" spans="1:11">
      <c r="A143" t="s">
        <v>608</v>
      </c>
      <c r="B143">
        <v>55</v>
      </c>
      <c r="C143" t="s">
        <v>926</v>
      </c>
      <c r="D143" t="s">
        <v>929</v>
      </c>
      <c r="E143" t="s">
        <v>930</v>
      </c>
      <c r="F143">
        <v>519</v>
      </c>
      <c r="G143">
        <v>12</v>
      </c>
      <c r="H143">
        <v>12</v>
      </c>
      <c r="I143">
        <v>2.3668639053254439</v>
      </c>
      <c r="J143">
        <v>26</v>
      </c>
      <c r="K143">
        <v>32</v>
      </c>
    </row>
    <row r="144" spans="1:11">
      <c r="A144" t="s">
        <v>17</v>
      </c>
      <c r="B144">
        <v>31</v>
      </c>
      <c r="C144" t="s">
        <v>198</v>
      </c>
      <c r="D144" t="s">
        <v>201</v>
      </c>
      <c r="E144" t="s">
        <v>202</v>
      </c>
      <c r="F144">
        <v>1076</v>
      </c>
      <c r="G144">
        <v>12</v>
      </c>
      <c r="H144">
        <v>12</v>
      </c>
      <c r="I144">
        <v>1.1278195488721801</v>
      </c>
      <c r="J144">
        <v>55</v>
      </c>
      <c r="K144">
        <v>56</v>
      </c>
    </row>
    <row r="145" spans="1:11">
      <c r="A145" t="s">
        <v>17</v>
      </c>
      <c r="B145">
        <v>77</v>
      </c>
      <c r="C145" t="s">
        <v>468</v>
      </c>
      <c r="D145" t="s">
        <v>471</v>
      </c>
      <c r="E145" t="s">
        <v>472</v>
      </c>
      <c r="F145">
        <v>4617</v>
      </c>
      <c r="G145">
        <v>12</v>
      </c>
      <c r="H145">
        <v>12</v>
      </c>
      <c r="I145">
        <v>0.26058631921824099</v>
      </c>
      <c r="J145">
        <v>337</v>
      </c>
      <c r="K145">
        <v>344</v>
      </c>
    </row>
    <row r="146" spans="1:11">
      <c r="A146" t="s">
        <v>608</v>
      </c>
      <c r="B146">
        <v>91</v>
      </c>
      <c r="C146" t="s">
        <v>1131</v>
      </c>
      <c r="D146" t="s">
        <v>1133</v>
      </c>
      <c r="E146" t="s">
        <v>1134</v>
      </c>
      <c r="F146">
        <v>18830</v>
      </c>
      <c r="G146">
        <v>12</v>
      </c>
      <c r="H146">
        <v>12</v>
      </c>
      <c r="I146">
        <v>6.3768732065044104E-2</v>
      </c>
      <c r="J146">
        <v>175</v>
      </c>
      <c r="K146">
        <v>176</v>
      </c>
    </row>
    <row r="147" spans="1:11">
      <c r="A147" t="s">
        <v>17</v>
      </c>
      <c r="B147">
        <v>68</v>
      </c>
      <c r="C147" t="s">
        <v>415</v>
      </c>
      <c r="D147" t="s">
        <v>418</v>
      </c>
      <c r="E147" t="s">
        <v>419</v>
      </c>
      <c r="F147">
        <v>231</v>
      </c>
      <c r="G147">
        <v>11</v>
      </c>
      <c r="H147">
        <v>11</v>
      </c>
      <c r="I147">
        <v>5</v>
      </c>
      <c r="J147">
        <v>18</v>
      </c>
      <c r="K147">
        <v>20</v>
      </c>
    </row>
    <row r="148" spans="1:11">
      <c r="A148" t="s">
        <v>17</v>
      </c>
      <c r="B148">
        <v>40</v>
      </c>
      <c r="C148" t="s">
        <v>251</v>
      </c>
      <c r="D148" t="s">
        <v>254</v>
      </c>
      <c r="E148" t="s">
        <v>255</v>
      </c>
      <c r="F148">
        <v>288</v>
      </c>
      <c r="G148">
        <v>11</v>
      </c>
      <c r="H148">
        <v>11</v>
      </c>
      <c r="I148">
        <v>3.9711191335740068</v>
      </c>
      <c r="J148">
        <v>17</v>
      </c>
      <c r="K148">
        <v>26</v>
      </c>
    </row>
    <row r="149" spans="1:11">
      <c r="A149" t="s">
        <v>17</v>
      </c>
      <c r="B149">
        <v>29</v>
      </c>
      <c r="C149" t="s">
        <v>187</v>
      </c>
      <c r="D149" t="s">
        <v>190</v>
      </c>
      <c r="E149" t="s">
        <v>191</v>
      </c>
      <c r="F149">
        <v>656</v>
      </c>
      <c r="G149">
        <v>11</v>
      </c>
      <c r="H149">
        <v>11</v>
      </c>
      <c r="I149">
        <v>1.705426356589147</v>
      </c>
      <c r="J149">
        <v>30</v>
      </c>
      <c r="K149">
        <v>32</v>
      </c>
    </row>
    <row r="150" spans="1:11">
      <c r="A150" t="s">
        <v>17</v>
      </c>
      <c r="B150">
        <v>55</v>
      </c>
      <c r="C150" t="s">
        <v>340</v>
      </c>
      <c r="D150" t="s">
        <v>343</v>
      </c>
      <c r="E150" t="s">
        <v>344</v>
      </c>
      <c r="F150">
        <v>55747</v>
      </c>
      <c r="G150">
        <v>11</v>
      </c>
      <c r="H150">
        <v>11</v>
      </c>
      <c r="I150">
        <v>1.9735897803932829E-2</v>
      </c>
      <c r="J150">
        <v>1188</v>
      </c>
      <c r="K150">
        <v>284</v>
      </c>
    </row>
    <row r="151" spans="1:11">
      <c r="A151" t="s">
        <v>17</v>
      </c>
      <c r="B151">
        <v>79</v>
      </c>
      <c r="C151" t="s">
        <v>480</v>
      </c>
      <c r="D151" t="s">
        <v>483</v>
      </c>
      <c r="E151" t="s">
        <v>484</v>
      </c>
      <c r="F151">
        <v>206</v>
      </c>
      <c r="G151">
        <v>11</v>
      </c>
      <c r="H151">
        <v>11</v>
      </c>
      <c r="I151">
        <v>5.6410256410256414</v>
      </c>
      <c r="J151">
        <v>41</v>
      </c>
      <c r="K151">
        <v>52</v>
      </c>
    </row>
    <row r="152" spans="1:11">
      <c r="A152" t="s">
        <v>608</v>
      </c>
      <c r="B152">
        <v>84</v>
      </c>
      <c r="C152" t="s">
        <v>1091</v>
      </c>
      <c r="D152" t="s">
        <v>1094</v>
      </c>
      <c r="E152" t="s">
        <v>1095</v>
      </c>
      <c r="F152">
        <v>177</v>
      </c>
      <c r="G152">
        <v>10</v>
      </c>
      <c r="H152">
        <v>10</v>
      </c>
      <c r="I152">
        <v>5.9880239520958094</v>
      </c>
      <c r="J152">
        <v>4</v>
      </c>
      <c r="K152">
        <v>5</v>
      </c>
    </row>
    <row r="153" spans="1:11">
      <c r="A153" t="s">
        <v>608</v>
      </c>
      <c r="B153">
        <v>87</v>
      </c>
      <c r="C153" t="s">
        <v>1108</v>
      </c>
      <c r="D153" t="s">
        <v>1111</v>
      </c>
      <c r="E153" t="s">
        <v>1112</v>
      </c>
      <c r="F153">
        <v>2511</v>
      </c>
      <c r="G153">
        <v>9</v>
      </c>
      <c r="H153">
        <v>9</v>
      </c>
      <c r="I153">
        <v>0.35971223021582738</v>
      </c>
      <c r="J153">
        <v>83</v>
      </c>
      <c r="K153">
        <v>81</v>
      </c>
    </row>
    <row r="154" spans="1:11">
      <c r="A154" t="s">
        <v>17</v>
      </c>
      <c r="B154">
        <v>62</v>
      </c>
      <c r="C154" t="s">
        <v>380</v>
      </c>
      <c r="D154" t="s">
        <v>383</v>
      </c>
      <c r="E154" t="s">
        <v>384</v>
      </c>
      <c r="F154">
        <v>315</v>
      </c>
      <c r="G154">
        <v>9</v>
      </c>
      <c r="H154">
        <v>9</v>
      </c>
      <c r="I154">
        <v>2.9411764705882351</v>
      </c>
      <c r="J154">
        <v>23</v>
      </c>
      <c r="K154">
        <v>25</v>
      </c>
    </row>
    <row r="155" spans="1:11">
      <c r="A155" t="s">
        <v>17</v>
      </c>
      <c r="B155">
        <v>59</v>
      </c>
      <c r="C155" t="s">
        <v>364</v>
      </c>
      <c r="D155" t="s">
        <v>366</v>
      </c>
      <c r="E155" t="s">
        <v>367</v>
      </c>
      <c r="F155">
        <v>977</v>
      </c>
      <c r="G155">
        <v>9</v>
      </c>
      <c r="H155">
        <v>9</v>
      </c>
      <c r="I155">
        <v>0.92975206611570249</v>
      </c>
      <c r="J155">
        <v>37</v>
      </c>
      <c r="K155">
        <v>41</v>
      </c>
    </row>
    <row r="156" spans="1:11">
      <c r="A156" t="s">
        <v>17</v>
      </c>
      <c r="B156">
        <v>58</v>
      </c>
      <c r="C156" t="s">
        <v>358</v>
      </c>
      <c r="D156" t="s">
        <v>361</v>
      </c>
      <c r="E156" t="s">
        <v>362</v>
      </c>
      <c r="F156">
        <v>249</v>
      </c>
      <c r="G156">
        <v>9</v>
      </c>
      <c r="H156">
        <v>9</v>
      </c>
      <c r="I156">
        <v>3.75</v>
      </c>
      <c r="J156">
        <v>29</v>
      </c>
      <c r="K156">
        <v>15</v>
      </c>
    </row>
    <row r="157" spans="1:11">
      <c r="A157" t="s">
        <v>17</v>
      </c>
      <c r="B157">
        <v>99</v>
      </c>
      <c r="C157" t="s">
        <v>596</v>
      </c>
      <c r="D157" t="s">
        <v>599</v>
      </c>
      <c r="E157" t="s">
        <v>600</v>
      </c>
      <c r="F157">
        <v>284</v>
      </c>
      <c r="G157">
        <v>9</v>
      </c>
      <c r="H157">
        <v>9</v>
      </c>
      <c r="I157">
        <v>3.2727272727272729</v>
      </c>
      <c r="J157">
        <v>12</v>
      </c>
      <c r="K157">
        <v>11</v>
      </c>
    </row>
    <row r="158" spans="1:11">
      <c r="A158" t="s">
        <v>17</v>
      </c>
      <c r="B158">
        <v>47</v>
      </c>
      <c r="C158" t="s">
        <v>293</v>
      </c>
      <c r="D158" t="s">
        <v>296</v>
      </c>
      <c r="E158" t="s">
        <v>297</v>
      </c>
      <c r="F158">
        <v>2164</v>
      </c>
      <c r="G158">
        <v>9</v>
      </c>
      <c r="H158">
        <v>9</v>
      </c>
      <c r="I158">
        <v>0.41763341067285392</v>
      </c>
      <c r="J158">
        <v>19</v>
      </c>
      <c r="K158">
        <v>34</v>
      </c>
    </row>
    <row r="159" spans="1:11">
      <c r="A159" t="s">
        <v>17</v>
      </c>
      <c r="B159">
        <v>54</v>
      </c>
      <c r="C159" t="s">
        <v>334</v>
      </c>
      <c r="D159" t="s">
        <v>337</v>
      </c>
      <c r="E159" t="s">
        <v>338</v>
      </c>
      <c r="F159">
        <v>320</v>
      </c>
      <c r="G159">
        <v>9</v>
      </c>
      <c r="H159">
        <v>9</v>
      </c>
      <c r="I159">
        <v>2.893890675241158</v>
      </c>
      <c r="J159">
        <v>22</v>
      </c>
      <c r="K159">
        <v>23</v>
      </c>
    </row>
    <row r="160" spans="1:11">
      <c r="A160" t="s">
        <v>17</v>
      </c>
      <c r="B160">
        <v>85</v>
      </c>
      <c r="C160" t="s">
        <v>515</v>
      </c>
      <c r="D160" t="s">
        <v>517</v>
      </c>
      <c r="E160" t="s">
        <v>518</v>
      </c>
      <c r="F160">
        <v>531</v>
      </c>
      <c r="G160">
        <v>9</v>
      </c>
      <c r="H160">
        <v>9</v>
      </c>
      <c r="I160">
        <v>1.7241379310344831</v>
      </c>
      <c r="J160">
        <v>23</v>
      </c>
      <c r="K160">
        <v>24</v>
      </c>
    </row>
    <row r="161" spans="1:11">
      <c r="A161" t="s">
        <v>17</v>
      </c>
      <c r="B161">
        <v>63</v>
      </c>
      <c r="C161" t="s">
        <v>386</v>
      </c>
      <c r="D161" t="s">
        <v>389</v>
      </c>
      <c r="E161" t="s">
        <v>390</v>
      </c>
      <c r="F161">
        <v>8631</v>
      </c>
      <c r="G161">
        <v>9</v>
      </c>
      <c r="H161">
        <v>9</v>
      </c>
      <c r="I161">
        <v>0.10438413361169099</v>
      </c>
      <c r="J161">
        <v>517</v>
      </c>
      <c r="K161">
        <v>135</v>
      </c>
    </row>
    <row r="162" spans="1:11">
      <c r="A162" t="s">
        <v>17</v>
      </c>
      <c r="B162">
        <v>56</v>
      </c>
      <c r="C162" t="s">
        <v>346</v>
      </c>
      <c r="D162" t="s">
        <v>349</v>
      </c>
      <c r="E162" t="s">
        <v>350</v>
      </c>
      <c r="F162">
        <v>86</v>
      </c>
      <c r="G162">
        <v>9</v>
      </c>
      <c r="H162">
        <v>9</v>
      </c>
      <c r="I162">
        <v>11.688311688311691</v>
      </c>
      <c r="J162">
        <v>6</v>
      </c>
      <c r="K162">
        <v>25</v>
      </c>
    </row>
    <row r="163" spans="1:11">
      <c r="A163" t="s">
        <v>608</v>
      </c>
      <c r="B163">
        <v>89</v>
      </c>
      <c r="C163" t="s">
        <v>1120</v>
      </c>
      <c r="D163" t="s">
        <v>1122</v>
      </c>
      <c r="E163" t="s">
        <v>1123</v>
      </c>
      <c r="F163">
        <v>2481</v>
      </c>
      <c r="G163">
        <v>9</v>
      </c>
      <c r="H163">
        <v>9</v>
      </c>
      <c r="I163">
        <v>0.36407766990291263</v>
      </c>
      <c r="J163">
        <v>116</v>
      </c>
      <c r="K163">
        <v>147</v>
      </c>
    </row>
    <row r="164" spans="1:11">
      <c r="A164" t="s">
        <v>608</v>
      </c>
      <c r="B164">
        <v>73</v>
      </c>
      <c r="C164" t="s">
        <v>1030</v>
      </c>
      <c r="D164" t="s">
        <v>1032</v>
      </c>
      <c r="E164" t="s">
        <v>1033</v>
      </c>
      <c r="F164">
        <v>913</v>
      </c>
      <c r="G164">
        <v>9</v>
      </c>
      <c r="H164">
        <v>9</v>
      </c>
      <c r="I164">
        <v>0.99557522123893805</v>
      </c>
      <c r="J164">
        <v>35</v>
      </c>
      <c r="K164">
        <v>36</v>
      </c>
    </row>
    <row r="165" spans="1:11">
      <c r="A165" t="s">
        <v>17</v>
      </c>
      <c r="B165">
        <v>82</v>
      </c>
      <c r="C165" t="s">
        <v>497</v>
      </c>
      <c r="D165" t="s">
        <v>500</v>
      </c>
      <c r="E165" t="s">
        <v>501</v>
      </c>
      <c r="F165">
        <v>737</v>
      </c>
      <c r="G165">
        <v>8</v>
      </c>
      <c r="H165">
        <v>8</v>
      </c>
      <c r="I165">
        <v>1.097393689986282</v>
      </c>
      <c r="J165">
        <v>847</v>
      </c>
      <c r="K165">
        <v>49</v>
      </c>
    </row>
    <row r="166" spans="1:11">
      <c r="A166" t="s">
        <v>17</v>
      </c>
      <c r="B166">
        <v>73</v>
      </c>
      <c r="C166" t="s">
        <v>445</v>
      </c>
      <c r="D166" t="s">
        <v>447</v>
      </c>
      <c r="E166" t="s">
        <v>448</v>
      </c>
      <c r="F166">
        <v>9179</v>
      </c>
      <c r="G166">
        <v>8</v>
      </c>
      <c r="H166">
        <v>8</v>
      </c>
      <c r="I166">
        <v>8.723149056809508E-2</v>
      </c>
      <c r="J166">
        <v>102</v>
      </c>
      <c r="K166">
        <v>72</v>
      </c>
    </row>
    <row r="167" spans="1:11">
      <c r="A167" t="s">
        <v>17</v>
      </c>
      <c r="B167">
        <v>52</v>
      </c>
      <c r="C167" t="s">
        <v>322</v>
      </c>
      <c r="D167" t="s">
        <v>325</v>
      </c>
      <c r="E167" t="s">
        <v>326</v>
      </c>
      <c r="F167">
        <v>320</v>
      </c>
      <c r="G167">
        <v>8</v>
      </c>
      <c r="H167">
        <v>8</v>
      </c>
      <c r="I167">
        <v>2.5641025641025639</v>
      </c>
      <c r="J167">
        <v>17</v>
      </c>
      <c r="K167">
        <v>19</v>
      </c>
    </row>
    <row r="168" spans="1:11">
      <c r="A168" t="s">
        <v>17</v>
      </c>
      <c r="B168">
        <v>48</v>
      </c>
      <c r="C168" t="s">
        <v>299</v>
      </c>
      <c r="D168" t="s">
        <v>302</v>
      </c>
      <c r="E168" t="s">
        <v>303</v>
      </c>
      <c r="F168">
        <v>13890</v>
      </c>
      <c r="G168">
        <v>8</v>
      </c>
      <c r="H168">
        <v>8</v>
      </c>
      <c r="I168">
        <v>5.7628583777553671E-2</v>
      </c>
      <c r="J168">
        <v>68</v>
      </c>
      <c r="K168">
        <v>81</v>
      </c>
    </row>
    <row r="169" spans="1:11">
      <c r="A169" t="s">
        <v>17</v>
      </c>
      <c r="B169">
        <v>66</v>
      </c>
      <c r="C169" t="s">
        <v>404</v>
      </c>
      <c r="D169" t="s">
        <v>406</v>
      </c>
      <c r="E169" t="s">
        <v>407</v>
      </c>
      <c r="F169">
        <v>2868</v>
      </c>
      <c r="G169">
        <v>8</v>
      </c>
      <c r="H169">
        <v>8</v>
      </c>
      <c r="I169">
        <v>0.27972027972027969</v>
      </c>
      <c r="J169">
        <v>68</v>
      </c>
      <c r="K169">
        <v>117</v>
      </c>
    </row>
    <row r="170" spans="1:11">
      <c r="A170" t="s">
        <v>17</v>
      </c>
      <c r="B170">
        <v>86</v>
      </c>
      <c r="C170" t="s">
        <v>520</v>
      </c>
      <c r="D170" t="s">
        <v>523</v>
      </c>
      <c r="E170" t="s">
        <v>524</v>
      </c>
      <c r="F170">
        <v>942</v>
      </c>
      <c r="G170">
        <v>8</v>
      </c>
      <c r="H170">
        <v>8</v>
      </c>
      <c r="I170">
        <v>0.85653104925053536</v>
      </c>
      <c r="J170">
        <v>14</v>
      </c>
      <c r="K170">
        <v>15</v>
      </c>
    </row>
    <row r="171" spans="1:11">
      <c r="A171" t="s">
        <v>17</v>
      </c>
      <c r="B171">
        <v>75</v>
      </c>
      <c r="C171" t="s">
        <v>456</v>
      </c>
      <c r="D171" t="s">
        <v>459</v>
      </c>
      <c r="E171" t="s">
        <v>460</v>
      </c>
      <c r="F171">
        <v>225</v>
      </c>
      <c r="G171">
        <v>8</v>
      </c>
      <c r="H171">
        <v>8</v>
      </c>
      <c r="I171">
        <v>3.6866359447004609</v>
      </c>
      <c r="J171">
        <v>19</v>
      </c>
      <c r="K171">
        <v>22</v>
      </c>
    </row>
    <row r="172" spans="1:11">
      <c r="A172" t="s">
        <v>17</v>
      </c>
      <c r="B172">
        <v>84</v>
      </c>
      <c r="C172" t="s">
        <v>509</v>
      </c>
      <c r="D172" t="s">
        <v>512</v>
      </c>
      <c r="E172" t="s">
        <v>513</v>
      </c>
      <c r="F172">
        <v>924</v>
      </c>
      <c r="G172">
        <v>7</v>
      </c>
      <c r="H172">
        <v>7</v>
      </c>
      <c r="I172">
        <v>0.76335877862595414</v>
      </c>
      <c r="J172">
        <v>67</v>
      </c>
      <c r="K172">
        <v>72</v>
      </c>
    </row>
    <row r="173" spans="1:11">
      <c r="A173" t="s">
        <v>17</v>
      </c>
      <c r="B173">
        <v>57</v>
      </c>
      <c r="C173" t="s">
        <v>352</v>
      </c>
      <c r="D173" t="s">
        <v>355</v>
      </c>
      <c r="E173" t="s">
        <v>356</v>
      </c>
      <c r="F173">
        <v>128</v>
      </c>
      <c r="G173">
        <v>7</v>
      </c>
      <c r="H173">
        <v>7</v>
      </c>
      <c r="I173">
        <v>5.785123966942149</v>
      </c>
      <c r="J173">
        <v>30</v>
      </c>
      <c r="K173">
        <v>106</v>
      </c>
    </row>
    <row r="174" spans="1:11">
      <c r="A174" t="s">
        <v>17</v>
      </c>
      <c r="B174">
        <v>96</v>
      </c>
      <c r="C174" t="s">
        <v>578</v>
      </c>
      <c r="D174" t="s">
        <v>581</v>
      </c>
      <c r="E174" t="s">
        <v>582</v>
      </c>
      <c r="F174">
        <v>1481</v>
      </c>
      <c r="G174">
        <v>6</v>
      </c>
      <c r="H174">
        <v>6</v>
      </c>
      <c r="I174">
        <v>0.40677966101694918</v>
      </c>
      <c r="J174">
        <v>99</v>
      </c>
      <c r="K174">
        <v>101</v>
      </c>
    </row>
    <row r="175" spans="1:11">
      <c r="A175" t="s">
        <v>17</v>
      </c>
      <c r="B175">
        <v>51</v>
      </c>
      <c r="C175" t="s">
        <v>316</v>
      </c>
      <c r="D175" t="s">
        <v>319</v>
      </c>
      <c r="E175" t="s">
        <v>320</v>
      </c>
      <c r="F175">
        <v>1544</v>
      </c>
      <c r="G175">
        <v>6</v>
      </c>
      <c r="H175">
        <v>6</v>
      </c>
      <c r="I175">
        <v>0.39011703511053319</v>
      </c>
      <c r="J175">
        <v>36</v>
      </c>
      <c r="K175">
        <v>62</v>
      </c>
    </row>
    <row r="176" spans="1:11">
      <c r="A176" t="s">
        <v>608</v>
      </c>
      <c r="B176">
        <v>93</v>
      </c>
      <c r="C176" t="s">
        <v>1142</v>
      </c>
      <c r="D176" t="s">
        <v>1145</v>
      </c>
      <c r="E176" t="s">
        <v>1146</v>
      </c>
      <c r="F176">
        <v>282</v>
      </c>
      <c r="G176">
        <v>6</v>
      </c>
      <c r="H176">
        <v>6</v>
      </c>
      <c r="I176">
        <v>2.1739130434782612</v>
      </c>
      <c r="J176">
        <v>17</v>
      </c>
      <c r="K176">
        <v>20</v>
      </c>
    </row>
    <row r="177" spans="1:11">
      <c r="A177" t="s">
        <v>608</v>
      </c>
      <c r="B177">
        <v>36</v>
      </c>
      <c r="C177" t="s">
        <v>815</v>
      </c>
      <c r="D177" t="s">
        <v>818</v>
      </c>
      <c r="E177" t="s">
        <v>819</v>
      </c>
      <c r="F177">
        <v>11187</v>
      </c>
      <c r="G177">
        <v>6</v>
      </c>
      <c r="H177">
        <v>6</v>
      </c>
      <c r="I177">
        <v>5.3662463107056607E-2</v>
      </c>
      <c r="J177">
        <v>479</v>
      </c>
      <c r="K177">
        <v>529</v>
      </c>
    </row>
    <row r="178" spans="1:11">
      <c r="A178" t="s">
        <v>17</v>
      </c>
      <c r="B178">
        <v>92</v>
      </c>
      <c r="C178" t="s">
        <v>556</v>
      </c>
      <c r="D178" t="s">
        <v>558</v>
      </c>
      <c r="E178" t="s">
        <v>559</v>
      </c>
      <c r="F178">
        <v>12669</v>
      </c>
      <c r="G178">
        <v>6</v>
      </c>
      <c r="H178">
        <v>6</v>
      </c>
      <c r="I178">
        <v>4.7382136934375742E-2</v>
      </c>
      <c r="J178">
        <v>190</v>
      </c>
      <c r="K178">
        <v>193</v>
      </c>
    </row>
    <row r="179" spans="1:11">
      <c r="A179" t="s">
        <v>17</v>
      </c>
      <c r="B179">
        <v>49</v>
      </c>
      <c r="C179" t="s">
        <v>305</v>
      </c>
      <c r="D179" t="s">
        <v>307</v>
      </c>
      <c r="E179" t="s">
        <v>308</v>
      </c>
      <c r="F179">
        <v>1714</v>
      </c>
      <c r="G179">
        <v>6</v>
      </c>
      <c r="H179">
        <v>6</v>
      </c>
      <c r="I179">
        <v>0.35128805620608899</v>
      </c>
      <c r="J179">
        <v>31</v>
      </c>
      <c r="K179">
        <v>31</v>
      </c>
    </row>
    <row r="180" spans="1:11">
      <c r="A180" t="s">
        <v>608</v>
      </c>
      <c r="B180">
        <v>51</v>
      </c>
      <c r="C180" t="s">
        <v>902</v>
      </c>
      <c r="D180" t="s">
        <v>905</v>
      </c>
      <c r="E180" t="s">
        <v>906</v>
      </c>
      <c r="F180">
        <v>325</v>
      </c>
      <c r="G180">
        <v>6</v>
      </c>
      <c r="H180">
        <v>6</v>
      </c>
      <c r="I180">
        <v>1.880877742946709</v>
      </c>
      <c r="J180">
        <v>5</v>
      </c>
      <c r="K180">
        <v>6</v>
      </c>
    </row>
    <row r="181" spans="1:11">
      <c r="A181" t="s">
        <v>608</v>
      </c>
      <c r="B181">
        <v>83</v>
      </c>
      <c r="C181" t="s">
        <v>1086</v>
      </c>
      <c r="D181" t="s">
        <v>1088</v>
      </c>
      <c r="E181" t="s">
        <v>1089</v>
      </c>
      <c r="F181">
        <v>762</v>
      </c>
      <c r="G181">
        <v>6</v>
      </c>
      <c r="H181">
        <v>6</v>
      </c>
      <c r="I181">
        <v>0.79365079365079361</v>
      </c>
      <c r="J181">
        <v>35</v>
      </c>
      <c r="K181">
        <v>70</v>
      </c>
    </row>
    <row r="182" spans="1:11">
      <c r="A182" t="s">
        <v>608</v>
      </c>
      <c r="B182">
        <v>71</v>
      </c>
      <c r="C182" t="s">
        <v>1018</v>
      </c>
      <c r="D182" t="s">
        <v>1021</v>
      </c>
      <c r="E182" t="s">
        <v>1022</v>
      </c>
      <c r="F182">
        <v>12748</v>
      </c>
      <c r="G182">
        <v>6</v>
      </c>
      <c r="H182">
        <v>6</v>
      </c>
      <c r="I182">
        <v>4.7088369172814323E-2</v>
      </c>
      <c r="J182">
        <v>495</v>
      </c>
      <c r="K182">
        <v>135</v>
      </c>
    </row>
    <row r="183" spans="1:11">
      <c r="A183" t="s">
        <v>17</v>
      </c>
      <c r="B183">
        <v>61</v>
      </c>
      <c r="C183" t="s">
        <v>375</v>
      </c>
      <c r="D183" t="s">
        <v>377</v>
      </c>
      <c r="E183" t="s">
        <v>378</v>
      </c>
      <c r="F183">
        <v>149</v>
      </c>
      <c r="G183">
        <v>5</v>
      </c>
      <c r="H183">
        <v>5</v>
      </c>
      <c r="I183">
        <v>3.4722222222222219</v>
      </c>
      <c r="J183">
        <v>12</v>
      </c>
      <c r="K183">
        <v>20</v>
      </c>
    </row>
    <row r="184" spans="1:11">
      <c r="A184" t="s">
        <v>17</v>
      </c>
      <c r="B184">
        <v>69</v>
      </c>
      <c r="C184" t="s">
        <v>421</v>
      </c>
      <c r="D184" t="s">
        <v>424</v>
      </c>
      <c r="E184" t="s">
        <v>425</v>
      </c>
      <c r="F184">
        <v>260</v>
      </c>
      <c r="G184">
        <v>5</v>
      </c>
      <c r="H184">
        <v>5</v>
      </c>
      <c r="I184">
        <v>1.9607843137254899</v>
      </c>
      <c r="J184">
        <v>24</v>
      </c>
      <c r="K184">
        <v>23</v>
      </c>
    </row>
    <row r="185" spans="1:11">
      <c r="A185" t="s">
        <v>17</v>
      </c>
      <c r="B185">
        <v>65</v>
      </c>
      <c r="C185" t="s">
        <v>398</v>
      </c>
      <c r="D185" t="s">
        <v>401</v>
      </c>
      <c r="E185" t="s">
        <v>402</v>
      </c>
      <c r="F185">
        <v>500</v>
      </c>
      <c r="G185">
        <v>4</v>
      </c>
      <c r="H185">
        <v>4</v>
      </c>
      <c r="I185">
        <v>0.80645161290322576</v>
      </c>
      <c r="J185">
        <v>39</v>
      </c>
      <c r="K185">
        <v>315</v>
      </c>
    </row>
    <row r="186" spans="1:11">
      <c r="A186" t="s">
        <v>17</v>
      </c>
      <c r="B186">
        <v>80</v>
      </c>
      <c r="C186" t="s">
        <v>486</v>
      </c>
      <c r="D186" t="s">
        <v>488</v>
      </c>
      <c r="E186" t="s">
        <v>489</v>
      </c>
      <c r="F186">
        <v>80</v>
      </c>
      <c r="G186">
        <v>4</v>
      </c>
      <c r="H186">
        <v>4</v>
      </c>
      <c r="I186">
        <v>5.2631578947368416</v>
      </c>
      <c r="J186">
        <v>5</v>
      </c>
      <c r="K186">
        <v>13</v>
      </c>
    </row>
    <row r="187" spans="1:11">
      <c r="A187" t="s">
        <v>17</v>
      </c>
      <c r="B187">
        <v>98</v>
      </c>
      <c r="C187" t="s">
        <v>590</v>
      </c>
      <c r="D187" t="s">
        <v>593</v>
      </c>
      <c r="E187" t="s">
        <v>594</v>
      </c>
      <c r="F187">
        <v>46046</v>
      </c>
      <c r="G187">
        <v>3</v>
      </c>
      <c r="H187">
        <v>3</v>
      </c>
      <c r="I187">
        <v>6.5156484156114938E-3</v>
      </c>
      <c r="J187">
        <v>572</v>
      </c>
      <c r="K187">
        <v>158</v>
      </c>
    </row>
    <row r="188" spans="1:11">
      <c r="A188" t="s">
        <v>608</v>
      </c>
      <c r="B188">
        <v>58</v>
      </c>
      <c r="C188" t="s">
        <v>944</v>
      </c>
      <c r="D188" t="s">
        <v>946</v>
      </c>
      <c r="E188" t="s">
        <v>947</v>
      </c>
      <c r="F188">
        <v>762</v>
      </c>
      <c r="G188">
        <v>3</v>
      </c>
      <c r="H188">
        <v>3</v>
      </c>
      <c r="I188">
        <v>0.39525691699604742</v>
      </c>
      <c r="J188">
        <v>20</v>
      </c>
      <c r="K188">
        <v>41</v>
      </c>
    </row>
    <row r="189" spans="1:11">
      <c r="A189" t="s">
        <v>17</v>
      </c>
      <c r="B189">
        <v>72</v>
      </c>
      <c r="C189" t="s">
        <v>439</v>
      </c>
      <c r="D189" t="s">
        <v>442</v>
      </c>
      <c r="E189" t="s">
        <v>443</v>
      </c>
      <c r="F189">
        <v>23452</v>
      </c>
      <c r="G189">
        <v>3</v>
      </c>
      <c r="H189">
        <v>3</v>
      </c>
      <c r="I189">
        <v>1.27937225468037E-2</v>
      </c>
      <c r="J189">
        <v>527</v>
      </c>
      <c r="K189">
        <v>301</v>
      </c>
    </row>
    <row r="190" spans="1:11">
      <c r="A190" t="s">
        <v>17</v>
      </c>
      <c r="B190">
        <v>93</v>
      </c>
      <c r="C190" t="s">
        <v>561</v>
      </c>
      <c r="D190" t="s">
        <v>563</v>
      </c>
      <c r="E190" t="s">
        <v>564</v>
      </c>
      <c r="F190">
        <v>1426</v>
      </c>
      <c r="G190">
        <v>2</v>
      </c>
      <c r="H190">
        <v>2</v>
      </c>
      <c r="I190">
        <v>0.1404494382022472</v>
      </c>
      <c r="J190">
        <v>75</v>
      </c>
      <c r="K190">
        <v>238</v>
      </c>
    </row>
    <row r="191" spans="1:11">
      <c r="A191" t="s">
        <v>17</v>
      </c>
      <c r="B191">
        <v>89</v>
      </c>
      <c r="C191" t="s">
        <v>538</v>
      </c>
      <c r="D191" t="s">
        <v>541</v>
      </c>
      <c r="E191" t="s">
        <v>542</v>
      </c>
      <c r="F191">
        <v>236</v>
      </c>
      <c r="G191">
        <v>2</v>
      </c>
      <c r="H191">
        <v>2</v>
      </c>
      <c r="I191">
        <v>0.85470085470085477</v>
      </c>
      <c r="J191">
        <v>27</v>
      </c>
      <c r="K191">
        <v>28</v>
      </c>
    </row>
    <row r="192" spans="1:11">
      <c r="A192" t="s">
        <v>17</v>
      </c>
      <c r="B192">
        <v>87</v>
      </c>
      <c r="C192" t="s">
        <v>526</v>
      </c>
      <c r="D192" t="s">
        <v>529</v>
      </c>
      <c r="E192" t="s">
        <v>530</v>
      </c>
      <c r="F192">
        <v>269</v>
      </c>
      <c r="G192">
        <v>2</v>
      </c>
      <c r="H192">
        <v>2</v>
      </c>
      <c r="I192">
        <v>0.74906367041198507</v>
      </c>
      <c r="J192">
        <v>19</v>
      </c>
      <c r="K192">
        <v>23</v>
      </c>
    </row>
    <row r="193" spans="1:11">
      <c r="A193" t="s">
        <v>17</v>
      </c>
      <c r="B193">
        <v>90</v>
      </c>
      <c r="C193" t="s">
        <v>544</v>
      </c>
      <c r="D193" t="s">
        <v>547</v>
      </c>
      <c r="E193" t="s">
        <v>548</v>
      </c>
      <c r="F193">
        <v>2939</v>
      </c>
      <c r="G193">
        <v>0</v>
      </c>
      <c r="H193">
        <v>0</v>
      </c>
      <c r="I193">
        <v>0</v>
      </c>
      <c r="J193">
        <v>141</v>
      </c>
      <c r="K193">
        <v>107</v>
      </c>
    </row>
    <row r="194" spans="1:11">
      <c r="A194" t="s">
        <v>17</v>
      </c>
      <c r="B194">
        <v>71</v>
      </c>
      <c r="C194" t="s">
        <v>433</v>
      </c>
      <c r="D194" t="s">
        <v>436</v>
      </c>
      <c r="E194" t="s">
        <v>437</v>
      </c>
      <c r="F194">
        <v>695</v>
      </c>
      <c r="G194">
        <v>0</v>
      </c>
      <c r="H194">
        <v>0</v>
      </c>
      <c r="I194">
        <v>0</v>
      </c>
      <c r="J194">
        <v>8</v>
      </c>
      <c r="K194">
        <v>9</v>
      </c>
    </row>
    <row r="195" spans="1:11">
      <c r="A195" t="s">
        <v>17</v>
      </c>
      <c r="B195">
        <v>83</v>
      </c>
      <c r="C195" t="s">
        <v>503</v>
      </c>
      <c r="D195" t="s">
        <v>506</v>
      </c>
      <c r="E195" t="s">
        <v>507</v>
      </c>
      <c r="F195">
        <v>2077</v>
      </c>
      <c r="G195">
        <v>0</v>
      </c>
      <c r="H195">
        <v>0</v>
      </c>
      <c r="I195">
        <v>0</v>
      </c>
      <c r="J195">
        <v>196</v>
      </c>
      <c r="K195">
        <v>310</v>
      </c>
    </row>
  </sheetData>
  <phoneticPr fontId="1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
  <sheetViews>
    <sheetView workbookViewId="0"/>
  </sheetViews>
  <sheetFormatPr defaultRowHeight="13.2"/>
  <sheetData>
    <row r="1" spans="1:11">
      <c r="A1" s="1" t="s">
        <v>0</v>
      </c>
      <c r="B1" s="1" t="s">
        <v>1</v>
      </c>
      <c r="C1" s="1" t="s">
        <v>3</v>
      </c>
      <c r="D1" s="1" t="s">
        <v>6</v>
      </c>
      <c r="E1" s="1" t="s">
        <v>1213</v>
      </c>
      <c r="F1" s="1" t="s">
        <v>4</v>
      </c>
      <c r="G1" s="1" t="s">
        <v>10</v>
      </c>
      <c r="H1" s="1" t="s">
        <v>15</v>
      </c>
      <c r="I1" s="1" t="s">
        <v>13</v>
      </c>
      <c r="J1" s="1" t="s">
        <v>8</v>
      </c>
      <c r="K1" s="1" t="s">
        <v>9</v>
      </c>
    </row>
    <row r="2" spans="1:11">
      <c r="A2" t="s">
        <v>17</v>
      </c>
      <c r="B2">
        <v>78</v>
      </c>
      <c r="C2" t="s">
        <v>475</v>
      </c>
      <c r="D2" t="s">
        <v>477</v>
      </c>
      <c r="E2" t="s">
        <v>478</v>
      </c>
      <c r="F2" t="s">
        <v>264</v>
      </c>
      <c r="G2">
        <v>203</v>
      </c>
      <c r="H2">
        <v>6</v>
      </c>
      <c r="I2">
        <v>76</v>
      </c>
      <c r="J2">
        <v>266</v>
      </c>
      <c r="K2" t="s">
        <v>479</v>
      </c>
    </row>
    <row r="3" spans="1:11">
      <c r="A3" t="s">
        <v>608</v>
      </c>
      <c r="B3">
        <v>85</v>
      </c>
      <c r="C3" t="s">
        <v>1097</v>
      </c>
      <c r="D3" t="s">
        <v>1100</v>
      </c>
      <c r="E3" t="s">
        <v>1101</v>
      </c>
      <c r="F3" t="s">
        <v>1098</v>
      </c>
      <c r="G3">
        <v>806</v>
      </c>
      <c r="H3">
        <v>125</v>
      </c>
      <c r="I3">
        <v>126</v>
      </c>
      <c r="J3">
        <v>259</v>
      </c>
      <c r="K3" t="s">
        <v>1102</v>
      </c>
    </row>
    <row r="4" spans="1:11">
      <c r="A4" t="s">
        <v>608</v>
      </c>
      <c r="B4">
        <v>97</v>
      </c>
      <c r="C4" t="s">
        <v>1166</v>
      </c>
      <c r="D4" t="s">
        <v>1169</v>
      </c>
      <c r="E4" t="s">
        <v>1170</v>
      </c>
      <c r="F4" t="s">
        <v>1167</v>
      </c>
      <c r="G4">
        <v>222</v>
      </c>
      <c r="H4">
        <v>11</v>
      </c>
      <c r="I4">
        <v>12</v>
      </c>
      <c r="J4">
        <v>246</v>
      </c>
      <c r="K4" t="s">
        <v>1171</v>
      </c>
    </row>
    <row r="5" spans="1:11">
      <c r="A5" t="s">
        <v>17</v>
      </c>
      <c r="B5">
        <v>97</v>
      </c>
      <c r="C5" t="s">
        <v>584</v>
      </c>
      <c r="D5" t="s">
        <v>587</v>
      </c>
      <c r="E5" t="s">
        <v>588</v>
      </c>
      <c r="F5" t="s">
        <v>585</v>
      </c>
      <c r="G5">
        <v>51</v>
      </c>
      <c r="H5">
        <v>6</v>
      </c>
      <c r="I5">
        <v>13</v>
      </c>
      <c r="J5">
        <v>640</v>
      </c>
      <c r="K5" t="s">
        <v>589</v>
      </c>
    </row>
    <row r="6" spans="1:11">
      <c r="A6" t="s">
        <v>608</v>
      </c>
      <c r="B6">
        <v>98</v>
      </c>
      <c r="C6" t="s">
        <v>1172</v>
      </c>
      <c r="E6" t="s">
        <v>1175</v>
      </c>
      <c r="F6" t="s">
        <v>1173</v>
      </c>
      <c r="G6">
        <v>5427</v>
      </c>
      <c r="H6">
        <v>416</v>
      </c>
      <c r="I6">
        <v>260</v>
      </c>
      <c r="J6">
        <v>324</v>
      </c>
      <c r="K6" t="s">
        <v>1176</v>
      </c>
    </row>
    <row r="7" spans="1:11">
      <c r="A7" t="s">
        <v>17</v>
      </c>
      <c r="B7">
        <v>100</v>
      </c>
      <c r="C7" t="s">
        <v>602</v>
      </c>
      <c r="D7" t="s">
        <v>605</v>
      </c>
      <c r="E7" t="s">
        <v>606</v>
      </c>
      <c r="F7" t="s">
        <v>603</v>
      </c>
      <c r="G7">
        <v>42263</v>
      </c>
      <c r="H7">
        <v>1367</v>
      </c>
      <c r="I7">
        <v>349</v>
      </c>
      <c r="J7">
        <v>175</v>
      </c>
      <c r="K7" t="s">
        <v>607</v>
      </c>
    </row>
  </sheetData>
  <phoneticPr fontId="1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workbookViewId="0"/>
  </sheetViews>
  <sheetFormatPr defaultRowHeight="13.2"/>
  <sheetData>
    <row r="1" spans="1:8">
      <c r="A1" s="1" t="s">
        <v>0</v>
      </c>
      <c r="B1" s="1" t="s">
        <v>1211</v>
      </c>
      <c r="C1" s="1" t="s">
        <v>3</v>
      </c>
      <c r="D1" s="1" t="s">
        <v>6</v>
      </c>
      <c r="E1" s="1" t="s">
        <v>1213</v>
      </c>
      <c r="F1" s="1" t="s">
        <v>4</v>
      </c>
      <c r="G1" s="1" t="s">
        <v>1216</v>
      </c>
      <c r="H1" s="1" t="s">
        <v>1217</v>
      </c>
    </row>
    <row r="2" spans="1:8">
      <c r="B2">
        <v>88</v>
      </c>
      <c r="C2" t="s">
        <v>1197</v>
      </c>
      <c r="D2" t="s">
        <v>1199</v>
      </c>
      <c r="E2" t="s">
        <v>1200</v>
      </c>
      <c r="F2" t="s">
        <v>1198</v>
      </c>
      <c r="G2">
        <v>530</v>
      </c>
      <c r="H2" t="s">
        <v>1218</v>
      </c>
    </row>
    <row r="3" spans="1:8">
      <c r="B3">
        <v>91</v>
      </c>
      <c r="C3" t="s">
        <v>1208</v>
      </c>
      <c r="D3" t="s">
        <v>1209</v>
      </c>
      <c r="E3" t="s">
        <v>1210</v>
      </c>
      <c r="F3" t="s">
        <v>716</v>
      </c>
      <c r="G3">
        <v>139</v>
      </c>
      <c r="H3" t="s">
        <v>1219</v>
      </c>
    </row>
    <row r="4" spans="1:8">
      <c r="B4">
        <v>92</v>
      </c>
      <c r="C4" t="s">
        <v>1194</v>
      </c>
      <c r="D4" t="s">
        <v>1195</v>
      </c>
      <c r="E4" t="s">
        <v>1196</v>
      </c>
      <c r="F4" t="s">
        <v>845</v>
      </c>
      <c r="G4">
        <v>702</v>
      </c>
      <c r="H4" t="s">
        <v>1220</v>
      </c>
    </row>
    <row r="5" spans="1:8">
      <c r="B5">
        <v>98</v>
      </c>
      <c r="C5" t="s">
        <v>1190</v>
      </c>
      <c r="D5" t="s">
        <v>1192</v>
      </c>
      <c r="E5" t="s">
        <v>1193</v>
      </c>
      <c r="F5" t="s">
        <v>1191</v>
      </c>
      <c r="G5">
        <v>379</v>
      </c>
      <c r="H5" t="s">
        <v>1221</v>
      </c>
    </row>
    <row r="6" spans="1:8">
      <c r="B6">
        <v>99</v>
      </c>
      <c r="C6" t="s">
        <v>1201</v>
      </c>
      <c r="D6" t="s">
        <v>1203</v>
      </c>
      <c r="E6" t="s">
        <v>1204</v>
      </c>
      <c r="F6" t="s">
        <v>1202</v>
      </c>
      <c r="G6">
        <v>327</v>
      </c>
      <c r="H6" t="s">
        <v>1222</v>
      </c>
    </row>
    <row r="7" spans="1:8">
      <c r="B7">
        <v>100</v>
      </c>
      <c r="C7" t="s">
        <v>1205</v>
      </c>
      <c r="D7" t="s">
        <v>1206</v>
      </c>
      <c r="E7" t="s">
        <v>1207</v>
      </c>
      <c r="F7" t="s">
        <v>428</v>
      </c>
      <c r="G7">
        <v>270</v>
      </c>
      <c r="H7" t="s">
        <v>1223</v>
      </c>
    </row>
  </sheetData>
  <phoneticPr fontId="1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workbookViewId="0"/>
  </sheetViews>
  <sheetFormatPr defaultRowHeight="13.2"/>
  <sheetData>
    <row r="1" spans="1:9">
      <c r="A1" s="1" t="s">
        <v>0</v>
      </c>
      <c r="B1" s="1" t="s">
        <v>1224</v>
      </c>
      <c r="C1" s="1" t="s">
        <v>1225</v>
      </c>
      <c r="D1" s="1" t="s">
        <v>1226</v>
      </c>
      <c r="E1" s="1" t="s">
        <v>1227</v>
      </c>
      <c r="F1" s="1" t="s">
        <v>1228</v>
      </c>
      <c r="G1" s="1" t="s">
        <v>1229</v>
      </c>
      <c r="H1" s="1" t="s">
        <v>1230</v>
      </c>
      <c r="I1" s="1" t="s">
        <v>1231</v>
      </c>
    </row>
    <row r="2" spans="1:9">
      <c r="A2" t="s">
        <v>17</v>
      </c>
      <c r="B2" t="s">
        <v>1232</v>
      </c>
      <c r="C2">
        <v>324</v>
      </c>
      <c r="D2">
        <v>154</v>
      </c>
      <c r="E2">
        <v>22</v>
      </c>
      <c r="F2">
        <v>102</v>
      </c>
      <c r="G2">
        <v>232</v>
      </c>
      <c r="H2">
        <v>9</v>
      </c>
      <c r="I2">
        <v>30.8</v>
      </c>
    </row>
    <row r="3" spans="1:9">
      <c r="A3" t="s">
        <v>17</v>
      </c>
      <c r="B3" t="s">
        <v>1233</v>
      </c>
      <c r="C3">
        <v>484</v>
      </c>
      <c r="D3">
        <v>356</v>
      </c>
      <c r="E3">
        <v>54</v>
      </c>
      <c r="F3">
        <v>199</v>
      </c>
      <c r="G3">
        <v>675</v>
      </c>
      <c r="H3">
        <v>16</v>
      </c>
      <c r="I3">
        <v>32.4</v>
      </c>
    </row>
    <row r="4" spans="1:9">
      <c r="A4" t="s">
        <v>17</v>
      </c>
      <c r="B4" t="s">
        <v>1234</v>
      </c>
      <c r="C4">
        <v>400</v>
      </c>
      <c r="D4">
        <v>488</v>
      </c>
      <c r="E4">
        <v>84</v>
      </c>
      <c r="F4">
        <v>264</v>
      </c>
      <c r="G4">
        <v>752</v>
      </c>
      <c r="H4">
        <v>23</v>
      </c>
      <c r="I4">
        <v>27.1</v>
      </c>
    </row>
    <row r="5" spans="1:9">
      <c r="A5" t="s">
        <v>17</v>
      </c>
      <c r="B5" t="s">
        <v>1235</v>
      </c>
      <c r="C5">
        <v>377</v>
      </c>
      <c r="D5">
        <v>686</v>
      </c>
      <c r="E5">
        <v>74</v>
      </c>
      <c r="F5">
        <v>395</v>
      </c>
      <c r="G5">
        <v>1194</v>
      </c>
      <c r="H5">
        <v>33</v>
      </c>
      <c r="I5">
        <v>26.4</v>
      </c>
    </row>
    <row r="6" spans="1:9">
      <c r="A6" t="s">
        <v>17</v>
      </c>
      <c r="B6" t="s">
        <v>1236</v>
      </c>
      <c r="C6">
        <v>447</v>
      </c>
      <c r="D6">
        <v>1274</v>
      </c>
      <c r="E6">
        <v>109</v>
      </c>
      <c r="F6">
        <v>556</v>
      </c>
      <c r="G6">
        <v>2646</v>
      </c>
      <c r="H6">
        <v>47</v>
      </c>
      <c r="I6">
        <v>33.5</v>
      </c>
    </row>
    <row r="7" spans="1:9">
      <c r="A7" t="s">
        <v>17</v>
      </c>
      <c r="B7" t="s">
        <v>1237</v>
      </c>
      <c r="C7">
        <v>344</v>
      </c>
      <c r="D7">
        <v>2264</v>
      </c>
      <c r="E7">
        <v>379</v>
      </c>
      <c r="F7">
        <v>999</v>
      </c>
      <c r="G7">
        <v>3328</v>
      </c>
      <c r="H7">
        <v>62</v>
      </c>
      <c r="I7">
        <v>42.7</v>
      </c>
    </row>
    <row r="8" spans="1:9">
      <c r="A8" t="s">
        <v>17</v>
      </c>
      <c r="B8" t="s">
        <v>1238</v>
      </c>
      <c r="C8">
        <v>311</v>
      </c>
      <c r="D8">
        <v>2995</v>
      </c>
      <c r="E8">
        <v>506</v>
      </c>
      <c r="F8">
        <v>1386</v>
      </c>
      <c r="G8">
        <v>4595</v>
      </c>
      <c r="H8">
        <v>78</v>
      </c>
      <c r="I8">
        <v>39.9</v>
      </c>
    </row>
    <row r="9" spans="1:9">
      <c r="A9" t="s">
        <v>17</v>
      </c>
      <c r="B9" t="s">
        <v>1239</v>
      </c>
      <c r="C9">
        <v>307</v>
      </c>
      <c r="D9">
        <v>1812</v>
      </c>
      <c r="E9">
        <v>247</v>
      </c>
      <c r="F9">
        <v>1130</v>
      </c>
      <c r="G9">
        <v>5940</v>
      </c>
      <c r="H9">
        <v>132</v>
      </c>
      <c r="I9">
        <v>13.4</v>
      </c>
    </row>
    <row r="10" spans="1:9">
      <c r="A10" t="s">
        <v>17</v>
      </c>
      <c r="B10" t="s">
        <v>1240</v>
      </c>
      <c r="C10">
        <v>207</v>
      </c>
      <c r="D10">
        <v>4335</v>
      </c>
      <c r="E10">
        <v>304</v>
      </c>
      <c r="F10">
        <v>1580</v>
      </c>
      <c r="G10">
        <v>19650</v>
      </c>
      <c r="H10">
        <v>164</v>
      </c>
      <c r="I10">
        <v>14.9</v>
      </c>
    </row>
    <row r="11" spans="1:9">
      <c r="A11" t="s">
        <v>17</v>
      </c>
      <c r="B11" t="s">
        <v>1241</v>
      </c>
      <c r="C11">
        <v>191</v>
      </c>
      <c r="D11">
        <v>23385</v>
      </c>
      <c r="E11">
        <v>647</v>
      </c>
      <c r="F11">
        <v>1822</v>
      </c>
      <c r="G11">
        <v>42224</v>
      </c>
      <c r="H11">
        <v>210</v>
      </c>
      <c r="I11">
        <v>39</v>
      </c>
    </row>
    <row r="12" spans="1:9">
      <c r="A12" t="s">
        <v>608</v>
      </c>
      <c r="B12" t="s">
        <v>1232</v>
      </c>
      <c r="C12">
        <v>311</v>
      </c>
      <c r="D12">
        <v>216</v>
      </c>
      <c r="E12">
        <v>54</v>
      </c>
      <c r="F12">
        <v>158</v>
      </c>
      <c r="G12">
        <v>322</v>
      </c>
      <c r="H12">
        <v>8</v>
      </c>
      <c r="I12">
        <v>43.2</v>
      </c>
    </row>
    <row r="13" spans="1:9">
      <c r="A13" t="s">
        <v>608</v>
      </c>
      <c r="B13" t="s">
        <v>1233</v>
      </c>
      <c r="C13">
        <v>524</v>
      </c>
      <c r="D13">
        <v>394</v>
      </c>
      <c r="E13">
        <v>62</v>
      </c>
      <c r="F13">
        <v>266</v>
      </c>
      <c r="G13">
        <v>690</v>
      </c>
      <c r="H13">
        <v>15</v>
      </c>
      <c r="I13">
        <v>35.799999999999997</v>
      </c>
    </row>
    <row r="14" spans="1:9">
      <c r="A14" t="s">
        <v>608</v>
      </c>
      <c r="B14" t="s">
        <v>1234</v>
      </c>
      <c r="C14">
        <v>465</v>
      </c>
      <c r="D14">
        <v>705</v>
      </c>
      <c r="E14">
        <v>142</v>
      </c>
      <c r="F14">
        <v>425</v>
      </c>
      <c r="G14">
        <v>1423</v>
      </c>
      <c r="H14">
        <v>22</v>
      </c>
      <c r="I14">
        <v>39.200000000000003</v>
      </c>
    </row>
    <row r="15" spans="1:9">
      <c r="A15" t="s">
        <v>608</v>
      </c>
      <c r="B15" t="s">
        <v>1235</v>
      </c>
      <c r="C15">
        <v>406</v>
      </c>
      <c r="D15">
        <v>1202</v>
      </c>
      <c r="E15">
        <v>189</v>
      </c>
      <c r="F15">
        <v>659</v>
      </c>
      <c r="G15">
        <v>2164</v>
      </c>
      <c r="H15">
        <v>29</v>
      </c>
      <c r="I15">
        <v>46.2</v>
      </c>
    </row>
    <row r="16" spans="1:9">
      <c r="A16" t="s">
        <v>608</v>
      </c>
      <c r="B16" t="s">
        <v>1236</v>
      </c>
      <c r="C16">
        <v>420</v>
      </c>
      <c r="D16">
        <v>2909</v>
      </c>
      <c r="E16">
        <v>113</v>
      </c>
      <c r="F16">
        <v>1404</v>
      </c>
      <c r="G16">
        <v>5122</v>
      </c>
      <c r="H16">
        <v>43</v>
      </c>
      <c r="I16">
        <v>76.599999999999994</v>
      </c>
    </row>
    <row r="17" spans="1:9">
      <c r="A17" t="s">
        <v>608</v>
      </c>
      <c r="B17" t="s">
        <v>1237</v>
      </c>
      <c r="C17">
        <v>208</v>
      </c>
      <c r="D17">
        <v>3016</v>
      </c>
      <c r="E17">
        <v>123</v>
      </c>
      <c r="F17">
        <v>1968</v>
      </c>
      <c r="G17">
        <v>5669</v>
      </c>
      <c r="H17">
        <v>57</v>
      </c>
      <c r="I17">
        <v>56.9</v>
      </c>
    </row>
    <row r="18" spans="1:9">
      <c r="A18" t="s">
        <v>608</v>
      </c>
      <c r="B18" t="s">
        <v>1238</v>
      </c>
      <c r="C18">
        <v>157</v>
      </c>
      <c r="D18">
        <v>2143</v>
      </c>
      <c r="E18">
        <v>1151</v>
      </c>
      <c r="F18">
        <v>1682</v>
      </c>
      <c r="G18">
        <v>2809</v>
      </c>
      <c r="H18">
        <v>75</v>
      </c>
      <c r="I18">
        <v>28.6</v>
      </c>
    </row>
    <row r="19" spans="1:9">
      <c r="A19" t="s">
        <v>608</v>
      </c>
      <c r="B19" t="s">
        <v>1239</v>
      </c>
      <c r="C19">
        <v>193</v>
      </c>
      <c r="D19">
        <v>2698</v>
      </c>
      <c r="E19">
        <v>430</v>
      </c>
      <c r="F19">
        <v>2295</v>
      </c>
      <c r="G19">
        <v>16214</v>
      </c>
      <c r="H19">
        <v>139</v>
      </c>
      <c r="I19">
        <v>20</v>
      </c>
    </row>
    <row r="20" spans="1:9">
      <c r="A20" t="s">
        <v>608</v>
      </c>
      <c r="B20" t="s">
        <v>1240</v>
      </c>
      <c r="C20">
        <v>107</v>
      </c>
      <c r="D20">
        <v>7447</v>
      </c>
      <c r="E20">
        <v>2227</v>
      </c>
      <c r="F20">
        <v>2926</v>
      </c>
      <c r="G20">
        <v>27524</v>
      </c>
      <c r="H20">
        <v>116</v>
      </c>
      <c r="I20">
        <v>25.7</v>
      </c>
    </row>
    <row r="21" spans="1:9">
      <c r="A21" t="s">
        <v>608</v>
      </c>
      <c r="B21" t="s">
        <v>1241</v>
      </c>
      <c r="C21">
        <v>205</v>
      </c>
      <c r="D21">
        <v>8567</v>
      </c>
      <c r="E21">
        <v>456</v>
      </c>
      <c r="F21">
        <v>3386</v>
      </c>
      <c r="G21">
        <v>15341</v>
      </c>
      <c r="H21">
        <v>226</v>
      </c>
      <c r="I21">
        <v>14.3</v>
      </c>
    </row>
  </sheetData>
  <phoneticPr fontId="1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83"/>
  <sheetViews>
    <sheetView workbookViewId="0"/>
  </sheetViews>
  <sheetFormatPr defaultRowHeight="13.2"/>
  <sheetData>
    <row r="1" spans="1:12">
      <c r="A1" s="1" t="s">
        <v>0</v>
      </c>
      <c r="B1" s="1" t="s">
        <v>3</v>
      </c>
      <c r="C1" s="1" t="s">
        <v>1213</v>
      </c>
      <c r="D1" s="1" t="s">
        <v>1242</v>
      </c>
      <c r="E1" s="1" t="s">
        <v>1243</v>
      </c>
      <c r="F1" s="1" t="s">
        <v>1244</v>
      </c>
      <c r="G1" s="1" t="s">
        <v>1245</v>
      </c>
      <c r="H1" s="1" t="s">
        <v>1246</v>
      </c>
      <c r="I1" s="1" t="s">
        <v>1247</v>
      </c>
      <c r="J1" s="1" t="s">
        <v>1248</v>
      </c>
      <c r="K1" s="1" t="s">
        <v>1249</v>
      </c>
      <c r="L1" s="1" t="s">
        <v>1250</v>
      </c>
    </row>
    <row r="2" spans="1:12">
      <c r="A2" t="s">
        <v>608</v>
      </c>
      <c r="B2" t="s">
        <v>1103</v>
      </c>
      <c r="C2" t="s">
        <v>1106</v>
      </c>
      <c r="D2">
        <v>40</v>
      </c>
      <c r="E2">
        <v>15</v>
      </c>
      <c r="F2">
        <v>86</v>
      </c>
      <c r="G2">
        <v>86</v>
      </c>
      <c r="H2">
        <v>73</v>
      </c>
      <c r="I2">
        <v>0</v>
      </c>
      <c r="J2">
        <v>548</v>
      </c>
      <c r="K2">
        <v>14.1</v>
      </c>
      <c r="L2">
        <v>111</v>
      </c>
    </row>
    <row r="3" spans="1:12">
      <c r="A3" t="s">
        <v>608</v>
      </c>
      <c r="B3" t="s">
        <v>1125</v>
      </c>
      <c r="C3" t="s">
        <v>1129</v>
      </c>
      <c r="D3">
        <v>40</v>
      </c>
      <c r="E3">
        <v>26</v>
      </c>
      <c r="F3">
        <v>91</v>
      </c>
      <c r="G3">
        <v>90</v>
      </c>
      <c r="H3">
        <v>72</v>
      </c>
      <c r="I3">
        <v>1</v>
      </c>
      <c r="J3">
        <v>761</v>
      </c>
      <c r="K3">
        <v>19.5</v>
      </c>
      <c r="L3">
        <v>82</v>
      </c>
    </row>
    <row r="4" spans="1:12">
      <c r="A4" t="s">
        <v>17</v>
      </c>
      <c r="B4" t="s">
        <v>404</v>
      </c>
      <c r="C4" t="s">
        <v>407</v>
      </c>
      <c r="D4">
        <v>40</v>
      </c>
      <c r="E4">
        <v>34</v>
      </c>
      <c r="F4">
        <v>7</v>
      </c>
      <c r="G4">
        <v>66</v>
      </c>
      <c r="H4">
        <v>7</v>
      </c>
      <c r="I4">
        <v>-59</v>
      </c>
      <c r="J4">
        <v>1539</v>
      </c>
      <c r="K4">
        <v>39.5</v>
      </c>
      <c r="L4">
        <v>68</v>
      </c>
    </row>
    <row r="5" spans="1:12">
      <c r="A5" t="s">
        <v>17</v>
      </c>
      <c r="B5" t="s">
        <v>176</v>
      </c>
      <c r="C5" t="s">
        <v>179</v>
      </c>
      <c r="D5">
        <v>40</v>
      </c>
      <c r="E5">
        <v>34</v>
      </c>
      <c r="F5">
        <v>6</v>
      </c>
      <c r="G5">
        <v>27</v>
      </c>
      <c r="H5">
        <v>6</v>
      </c>
      <c r="I5">
        <v>-21</v>
      </c>
      <c r="J5">
        <v>2008</v>
      </c>
      <c r="K5">
        <v>51.5</v>
      </c>
      <c r="L5">
        <v>73</v>
      </c>
    </row>
    <row r="6" spans="1:12">
      <c r="A6" t="s">
        <v>608</v>
      </c>
      <c r="B6" t="s">
        <v>1120</v>
      </c>
      <c r="C6" t="s">
        <v>1123</v>
      </c>
      <c r="D6">
        <v>40</v>
      </c>
      <c r="E6">
        <v>27</v>
      </c>
      <c r="F6">
        <v>92</v>
      </c>
      <c r="G6">
        <v>89</v>
      </c>
      <c r="H6">
        <v>59</v>
      </c>
      <c r="I6">
        <v>3</v>
      </c>
      <c r="J6">
        <v>656</v>
      </c>
      <c r="K6">
        <v>16.8</v>
      </c>
      <c r="L6">
        <v>116</v>
      </c>
    </row>
    <row r="7" spans="1:12">
      <c r="A7" t="s">
        <v>608</v>
      </c>
      <c r="B7" t="s">
        <v>1131</v>
      </c>
      <c r="C7" t="s">
        <v>1134</v>
      </c>
      <c r="D7">
        <v>40</v>
      </c>
      <c r="E7">
        <v>30</v>
      </c>
      <c r="F7">
        <v>57</v>
      </c>
      <c r="G7">
        <v>91</v>
      </c>
      <c r="H7">
        <v>57</v>
      </c>
      <c r="I7">
        <v>-34</v>
      </c>
      <c r="J7">
        <v>881</v>
      </c>
      <c r="K7">
        <v>22.6</v>
      </c>
      <c r="L7">
        <v>175</v>
      </c>
    </row>
    <row r="8" spans="1:12">
      <c r="A8" t="s">
        <v>608</v>
      </c>
      <c r="B8" t="s">
        <v>1068</v>
      </c>
      <c r="C8" t="s">
        <v>1072</v>
      </c>
      <c r="D8">
        <v>40</v>
      </c>
      <c r="E8">
        <v>30</v>
      </c>
      <c r="F8">
        <v>52</v>
      </c>
      <c r="G8">
        <v>80</v>
      </c>
      <c r="H8">
        <v>48</v>
      </c>
      <c r="I8">
        <v>-28</v>
      </c>
      <c r="J8">
        <v>791</v>
      </c>
      <c r="K8">
        <v>20.3</v>
      </c>
      <c r="L8">
        <v>175</v>
      </c>
    </row>
    <row r="9" spans="1:12">
      <c r="A9" t="s">
        <v>608</v>
      </c>
      <c r="B9" t="s">
        <v>1136</v>
      </c>
      <c r="C9" t="s">
        <v>1140</v>
      </c>
      <c r="D9">
        <v>40</v>
      </c>
      <c r="E9">
        <v>30</v>
      </c>
      <c r="F9">
        <v>50</v>
      </c>
      <c r="G9">
        <v>92</v>
      </c>
      <c r="H9">
        <v>46</v>
      </c>
      <c r="I9">
        <v>-42</v>
      </c>
      <c r="J9">
        <v>803</v>
      </c>
      <c r="K9">
        <v>20.6</v>
      </c>
      <c r="L9">
        <v>209</v>
      </c>
    </row>
    <row r="10" spans="1:12">
      <c r="A10" t="s">
        <v>608</v>
      </c>
      <c r="B10" t="s">
        <v>874</v>
      </c>
      <c r="C10" t="s">
        <v>878</v>
      </c>
      <c r="D10">
        <v>40</v>
      </c>
      <c r="E10">
        <v>30</v>
      </c>
      <c r="F10">
        <v>63</v>
      </c>
      <c r="G10">
        <v>46</v>
      </c>
      <c r="H10">
        <v>46</v>
      </c>
      <c r="I10">
        <v>17</v>
      </c>
      <c r="J10">
        <v>1006</v>
      </c>
      <c r="K10">
        <v>25.8</v>
      </c>
      <c r="L10">
        <v>47</v>
      </c>
    </row>
    <row r="11" spans="1:12">
      <c r="A11" t="s">
        <v>608</v>
      </c>
      <c r="B11" t="s">
        <v>1108</v>
      </c>
      <c r="C11" t="s">
        <v>1112</v>
      </c>
      <c r="D11">
        <v>40</v>
      </c>
      <c r="E11">
        <v>30</v>
      </c>
      <c r="F11">
        <v>43</v>
      </c>
      <c r="G11">
        <v>87</v>
      </c>
      <c r="H11">
        <v>35</v>
      </c>
      <c r="I11">
        <v>-44</v>
      </c>
      <c r="J11">
        <v>881</v>
      </c>
      <c r="K11">
        <v>22.6</v>
      </c>
      <c r="L11">
        <v>83</v>
      </c>
    </row>
    <row r="12" spans="1:12">
      <c r="A12" t="s">
        <v>608</v>
      </c>
      <c r="B12" t="s">
        <v>1007</v>
      </c>
      <c r="C12" t="s">
        <v>1011</v>
      </c>
      <c r="D12">
        <v>40</v>
      </c>
      <c r="E12">
        <v>30</v>
      </c>
      <c r="F12">
        <v>27</v>
      </c>
      <c r="G12">
        <v>69</v>
      </c>
      <c r="H12">
        <v>27</v>
      </c>
      <c r="I12">
        <v>-42</v>
      </c>
      <c r="J12">
        <v>1151</v>
      </c>
      <c r="K12">
        <v>29.5</v>
      </c>
      <c r="L12">
        <v>64</v>
      </c>
    </row>
    <row r="13" spans="1:12">
      <c r="A13" t="s">
        <v>608</v>
      </c>
      <c r="B13" t="s">
        <v>862</v>
      </c>
      <c r="C13" t="s">
        <v>866</v>
      </c>
      <c r="D13">
        <v>40</v>
      </c>
      <c r="E13">
        <v>30</v>
      </c>
      <c r="F13">
        <v>44</v>
      </c>
      <c r="G13">
        <v>44</v>
      </c>
      <c r="H13">
        <v>24</v>
      </c>
      <c r="I13">
        <v>0</v>
      </c>
      <c r="J13">
        <v>1472</v>
      </c>
      <c r="K13">
        <v>37.700000000000003</v>
      </c>
      <c r="L13">
        <v>86</v>
      </c>
    </row>
    <row r="14" spans="1:12">
      <c r="A14" t="s">
        <v>608</v>
      </c>
      <c r="B14" t="s">
        <v>1160</v>
      </c>
      <c r="C14" t="s">
        <v>1164</v>
      </c>
      <c r="D14">
        <v>40</v>
      </c>
      <c r="E14">
        <v>30</v>
      </c>
      <c r="F14">
        <v>30</v>
      </c>
      <c r="G14">
        <v>96</v>
      </c>
      <c r="H14">
        <v>16</v>
      </c>
      <c r="I14">
        <v>-66</v>
      </c>
      <c r="J14">
        <v>2421</v>
      </c>
      <c r="K14">
        <v>62.1</v>
      </c>
      <c r="L14">
        <v>55</v>
      </c>
    </row>
    <row r="15" spans="1:12">
      <c r="A15" t="s">
        <v>608</v>
      </c>
      <c r="B15" t="s">
        <v>1001</v>
      </c>
      <c r="C15" t="s">
        <v>1005</v>
      </c>
      <c r="D15">
        <v>40</v>
      </c>
      <c r="E15">
        <v>30</v>
      </c>
      <c r="F15">
        <v>66</v>
      </c>
      <c r="G15">
        <v>68</v>
      </c>
      <c r="H15">
        <v>9</v>
      </c>
      <c r="I15">
        <v>-2</v>
      </c>
      <c r="J15">
        <v>3287</v>
      </c>
      <c r="K15">
        <v>84.3</v>
      </c>
      <c r="L15">
        <v>42</v>
      </c>
    </row>
    <row r="16" spans="1:12">
      <c r="A16" t="s">
        <v>608</v>
      </c>
      <c r="B16" t="s">
        <v>886</v>
      </c>
      <c r="C16" t="s">
        <v>889</v>
      </c>
      <c r="D16">
        <v>40</v>
      </c>
      <c r="E16">
        <v>30</v>
      </c>
      <c r="F16">
        <v>12</v>
      </c>
      <c r="G16">
        <v>48</v>
      </c>
      <c r="H16">
        <v>9</v>
      </c>
      <c r="I16">
        <v>-36</v>
      </c>
      <c r="J16">
        <v>2740</v>
      </c>
      <c r="K16">
        <v>70.3</v>
      </c>
      <c r="L16">
        <v>55</v>
      </c>
    </row>
    <row r="17" spans="1:12">
      <c r="A17" t="s">
        <v>608</v>
      </c>
      <c r="B17" t="s">
        <v>780</v>
      </c>
      <c r="C17" t="s">
        <v>784</v>
      </c>
      <c r="D17">
        <v>40</v>
      </c>
      <c r="E17">
        <v>30</v>
      </c>
      <c r="F17">
        <v>67</v>
      </c>
      <c r="G17">
        <v>30</v>
      </c>
      <c r="H17">
        <v>5</v>
      </c>
      <c r="I17">
        <v>37</v>
      </c>
      <c r="J17">
        <v>3112</v>
      </c>
      <c r="K17">
        <v>79.8</v>
      </c>
      <c r="L17">
        <v>58</v>
      </c>
    </row>
    <row r="18" spans="1:12">
      <c r="A18" t="s">
        <v>608</v>
      </c>
      <c r="B18" t="s">
        <v>691</v>
      </c>
      <c r="C18" t="s">
        <v>695</v>
      </c>
      <c r="D18">
        <v>40</v>
      </c>
      <c r="E18">
        <v>30</v>
      </c>
      <c r="F18">
        <v>3</v>
      </c>
      <c r="G18">
        <v>15</v>
      </c>
      <c r="H18">
        <v>3</v>
      </c>
      <c r="I18">
        <v>-12</v>
      </c>
      <c r="J18">
        <v>8864</v>
      </c>
      <c r="K18">
        <v>227.3</v>
      </c>
      <c r="L18">
        <v>70</v>
      </c>
    </row>
    <row r="19" spans="1:12">
      <c r="A19" t="s">
        <v>17</v>
      </c>
      <c r="B19" t="s">
        <v>491</v>
      </c>
      <c r="C19" t="s">
        <v>495</v>
      </c>
      <c r="D19">
        <v>40</v>
      </c>
      <c r="E19">
        <v>34</v>
      </c>
      <c r="F19">
        <v>24</v>
      </c>
      <c r="G19">
        <v>81</v>
      </c>
      <c r="H19">
        <v>14</v>
      </c>
      <c r="I19">
        <v>-57</v>
      </c>
      <c r="J19">
        <v>606</v>
      </c>
      <c r="K19">
        <v>15.5</v>
      </c>
      <c r="L19">
        <v>58</v>
      </c>
    </row>
    <row r="20" spans="1:12">
      <c r="A20" t="s">
        <v>17</v>
      </c>
      <c r="B20" t="s">
        <v>561</v>
      </c>
      <c r="C20" t="s">
        <v>564</v>
      </c>
      <c r="D20">
        <v>40</v>
      </c>
      <c r="E20">
        <v>34</v>
      </c>
      <c r="F20">
        <v>12</v>
      </c>
      <c r="G20">
        <v>93</v>
      </c>
      <c r="H20">
        <v>12</v>
      </c>
      <c r="I20">
        <v>-81</v>
      </c>
      <c r="J20">
        <v>351</v>
      </c>
      <c r="K20">
        <v>9</v>
      </c>
      <c r="L20">
        <v>75</v>
      </c>
    </row>
    <row r="21" spans="1:12">
      <c r="A21" t="s">
        <v>17</v>
      </c>
      <c r="B21" t="s">
        <v>550</v>
      </c>
      <c r="C21" t="s">
        <v>554</v>
      </c>
      <c r="D21">
        <v>40</v>
      </c>
      <c r="E21">
        <v>34</v>
      </c>
      <c r="F21">
        <v>26</v>
      </c>
      <c r="G21">
        <v>91</v>
      </c>
      <c r="H21">
        <v>11</v>
      </c>
      <c r="I21">
        <v>-65</v>
      </c>
      <c r="J21">
        <v>1565</v>
      </c>
      <c r="K21">
        <v>40.1</v>
      </c>
      <c r="L21">
        <v>24</v>
      </c>
    </row>
    <row r="22" spans="1:12">
      <c r="A22" t="s">
        <v>608</v>
      </c>
      <c r="B22" t="s">
        <v>954</v>
      </c>
      <c r="C22" t="s">
        <v>958</v>
      </c>
      <c r="D22">
        <v>40</v>
      </c>
      <c r="E22">
        <v>30</v>
      </c>
      <c r="F22">
        <v>4</v>
      </c>
      <c r="G22">
        <v>60</v>
      </c>
      <c r="H22">
        <v>2</v>
      </c>
      <c r="I22">
        <v>-56</v>
      </c>
      <c r="J22">
        <v>10255</v>
      </c>
      <c r="K22">
        <v>262.89999999999998</v>
      </c>
      <c r="L22">
        <v>15</v>
      </c>
    </row>
    <row r="23" spans="1:12">
      <c r="A23" t="s">
        <v>608</v>
      </c>
      <c r="B23" t="s">
        <v>756</v>
      </c>
      <c r="C23" t="s">
        <v>760</v>
      </c>
      <c r="D23">
        <v>40</v>
      </c>
      <c r="E23">
        <v>30</v>
      </c>
      <c r="F23">
        <v>1</v>
      </c>
      <c r="G23">
        <v>26</v>
      </c>
      <c r="H23">
        <v>1</v>
      </c>
      <c r="I23">
        <v>-25</v>
      </c>
      <c r="J23">
        <v>11539</v>
      </c>
      <c r="K23">
        <v>295.89999999999998</v>
      </c>
      <c r="L23">
        <v>41</v>
      </c>
    </row>
    <row r="24" spans="1:12">
      <c r="A24" t="s">
        <v>608</v>
      </c>
      <c r="B24" t="s">
        <v>721</v>
      </c>
      <c r="C24" t="s">
        <v>725</v>
      </c>
      <c r="D24">
        <v>40</v>
      </c>
      <c r="E24">
        <v>30</v>
      </c>
      <c r="F24">
        <v>7</v>
      </c>
      <c r="G24">
        <v>20</v>
      </c>
      <c r="H24">
        <v>1</v>
      </c>
      <c r="I24">
        <v>-13</v>
      </c>
      <c r="J24">
        <v>9957</v>
      </c>
      <c r="K24">
        <v>255.3</v>
      </c>
      <c r="L24">
        <v>48</v>
      </c>
    </row>
    <row r="25" spans="1:12">
      <c r="A25" t="s">
        <v>17</v>
      </c>
      <c r="B25" t="s">
        <v>556</v>
      </c>
      <c r="C25" t="s">
        <v>559</v>
      </c>
      <c r="D25">
        <v>40</v>
      </c>
      <c r="E25">
        <v>33</v>
      </c>
      <c r="F25">
        <v>63</v>
      </c>
      <c r="G25">
        <v>92</v>
      </c>
      <c r="H25">
        <v>63</v>
      </c>
      <c r="I25">
        <v>-29</v>
      </c>
      <c r="J25">
        <v>582</v>
      </c>
      <c r="K25">
        <v>14.9</v>
      </c>
      <c r="L25">
        <v>190</v>
      </c>
    </row>
    <row r="26" spans="1:12">
      <c r="A26" t="s">
        <v>17</v>
      </c>
      <c r="B26" t="s">
        <v>509</v>
      </c>
      <c r="C26" t="s">
        <v>513</v>
      </c>
      <c r="D26">
        <v>40</v>
      </c>
      <c r="E26">
        <v>34</v>
      </c>
      <c r="F26">
        <v>81</v>
      </c>
      <c r="G26">
        <v>84</v>
      </c>
      <c r="H26">
        <v>56</v>
      </c>
      <c r="I26">
        <v>-3</v>
      </c>
      <c r="J26">
        <v>638</v>
      </c>
      <c r="K26">
        <v>16.399999999999999</v>
      </c>
      <c r="L26">
        <v>67</v>
      </c>
    </row>
    <row r="27" spans="1:12">
      <c r="A27" t="s">
        <v>17</v>
      </c>
      <c r="B27" t="s">
        <v>532</v>
      </c>
      <c r="C27" t="s">
        <v>536</v>
      </c>
      <c r="D27">
        <v>40</v>
      </c>
      <c r="E27">
        <v>22</v>
      </c>
      <c r="F27">
        <v>50</v>
      </c>
      <c r="G27">
        <v>88</v>
      </c>
      <c r="H27">
        <v>50</v>
      </c>
      <c r="I27">
        <v>-38</v>
      </c>
      <c r="J27">
        <v>430</v>
      </c>
      <c r="K27">
        <v>11</v>
      </c>
      <c r="L27">
        <v>78</v>
      </c>
    </row>
    <row r="28" spans="1:12">
      <c r="A28" t="s">
        <v>17</v>
      </c>
      <c r="B28" t="s">
        <v>503</v>
      </c>
      <c r="C28" t="s">
        <v>507</v>
      </c>
      <c r="D28">
        <v>40</v>
      </c>
      <c r="E28">
        <v>34</v>
      </c>
      <c r="F28">
        <v>53</v>
      </c>
      <c r="G28">
        <v>83</v>
      </c>
      <c r="H28">
        <v>49</v>
      </c>
      <c r="I28">
        <v>-30</v>
      </c>
      <c r="J28">
        <v>343</v>
      </c>
      <c r="K28">
        <v>8.8000000000000007</v>
      </c>
      <c r="L28">
        <v>196</v>
      </c>
    </row>
    <row r="29" spans="1:12">
      <c r="A29" t="s">
        <v>17</v>
      </c>
      <c r="B29" t="s">
        <v>340</v>
      </c>
      <c r="C29" t="s">
        <v>344</v>
      </c>
      <c r="D29">
        <v>40</v>
      </c>
      <c r="E29">
        <v>34</v>
      </c>
      <c r="F29">
        <v>51</v>
      </c>
      <c r="G29">
        <v>55</v>
      </c>
      <c r="H29">
        <v>49</v>
      </c>
      <c r="I29">
        <v>-4</v>
      </c>
      <c r="J29">
        <v>638</v>
      </c>
      <c r="K29">
        <v>16.399999999999999</v>
      </c>
      <c r="L29">
        <v>1188</v>
      </c>
    </row>
    <row r="30" spans="1:12">
      <c r="A30" t="s">
        <v>17</v>
      </c>
      <c r="B30" t="s">
        <v>281</v>
      </c>
      <c r="C30" t="s">
        <v>285</v>
      </c>
      <c r="D30">
        <v>40</v>
      </c>
      <c r="E30">
        <v>34</v>
      </c>
      <c r="F30">
        <v>73</v>
      </c>
      <c r="G30">
        <v>45</v>
      </c>
      <c r="H30">
        <v>43</v>
      </c>
      <c r="I30">
        <v>28</v>
      </c>
      <c r="J30">
        <v>691</v>
      </c>
      <c r="K30">
        <v>17.7</v>
      </c>
      <c r="L30">
        <v>50</v>
      </c>
    </row>
    <row r="31" spans="1:12">
      <c r="A31" t="s">
        <v>17</v>
      </c>
      <c r="B31" t="s">
        <v>578</v>
      </c>
      <c r="C31" t="s">
        <v>582</v>
      </c>
      <c r="D31">
        <v>40</v>
      </c>
      <c r="E31">
        <v>34</v>
      </c>
      <c r="F31">
        <v>42</v>
      </c>
      <c r="G31">
        <v>96</v>
      </c>
      <c r="H31">
        <v>42</v>
      </c>
      <c r="I31">
        <v>-54</v>
      </c>
      <c r="J31">
        <v>578</v>
      </c>
      <c r="K31">
        <v>14.8</v>
      </c>
      <c r="L31">
        <v>99</v>
      </c>
    </row>
    <row r="32" spans="1:12">
      <c r="A32" t="s">
        <v>17</v>
      </c>
      <c r="B32" t="s">
        <v>409</v>
      </c>
      <c r="C32" t="s">
        <v>413</v>
      </c>
      <c r="D32">
        <v>40</v>
      </c>
      <c r="E32">
        <v>34</v>
      </c>
      <c r="F32">
        <v>55</v>
      </c>
      <c r="G32">
        <v>67</v>
      </c>
      <c r="H32">
        <v>40</v>
      </c>
      <c r="I32">
        <v>-12</v>
      </c>
      <c r="J32">
        <v>800</v>
      </c>
      <c r="K32">
        <v>20.5</v>
      </c>
      <c r="L32">
        <v>88</v>
      </c>
    </row>
    <row r="33" spans="1:12">
      <c r="A33" t="s">
        <v>17</v>
      </c>
      <c r="B33" t="s">
        <v>234</v>
      </c>
      <c r="C33" t="s">
        <v>238</v>
      </c>
      <c r="D33">
        <v>40</v>
      </c>
      <c r="E33">
        <v>34</v>
      </c>
      <c r="F33">
        <v>36</v>
      </c>
      <c r="G33">
        <v>37</v>
      </c>
      <c r="H33">
        <v>33</v>
      </c>
      <c r="I33">
        <v>-1</v>
      </c>
      <c r="J33">
        <v>899</v>
      </c>
      <c r="K33">
        <v>23.1</v>
      </c>
      <c r="L33">
        <v>288</v>
      </c>
    </row>
    <row r="34" spans="1:12">
      <c r="A34" t="s">
        <v>17</v>
      </c>
      <c r="B34" t="s">
        <v>263</v>
      </c>
      <c r="C34" t="s">
        <v>267</v>
      </c>
      <c r="D34">
        <v>40</v>
      </c>
      <c r="E34">
        <v>34</v>
      </c>
      <c r="F34">
        <v>34</v>
      </c>
      <c r="G34">
        <v>42</v>
      </c>
      <c r="H34">
        <v>22</v>
      </c>
      <c r="I34">
        <v>-8</v>
      </c>
      <c r="J34">
        <v>1020</v>
      </c>
      <c r="K34">
        <v>26.2</v>
      </c>
      <c r="L34">
        <v>77</v>
      </c>
    </row>
    <row r="35" spans="1:12">
      <c r="A35" t="s">
        <v>17</v>
      </c>
      <c r="B35" t="s">
        <v>445</v>
      </c>
      <c r="C35" t="s">
        <v>448</v>
      </c>
      <c r="D35">
        <v>40</v>
      </c>
      <c r="E35">
        <v>29</v>
      </c>
      <c r="F35">
        <v>19</v>
      </c>
      <c r="G35">
        <v>73</v>
      </c>
      <c r="H35">
        <v>19</v>
      </c>
      <c r="I35">
        <v>-54</v>
      </c>
      <c r="J35">
        <v>690</v>
      </c>
      <c r="K35">
        <v>17.7</v>
      </c>
      <c r="L35">
        <v>102</v>
      </c>
    </row>
    <row r="36" spans="1:12">
      <c r="A36" t="s">
        <v>17</v>
      </c>
      <c r="B36" t="s">
        <v>198</v>
      </c>
      <c r="C36" t="s">
        <v>202</v>
      </c>
      <c r="D36">
        <v>40</v>
      </c>
      <c r="E36">
        <v>34</v>
      </c>
      <c r="F36">
        <v>98</v>
      </c>
      <c r="G36">
        <v>31</v>
      </c>
      <c r="H36">
        <v>18</v>
      </c>
      <c r="I36">
        <v>67</v>
      </c>
      <c r="J36">
        <v>944</v>
      </c>
      <c r="K36">
        <v>24.2</v>
      </c>
      <c r="L36">
        <v>55</v>
      </c>
    </row>
    <row r="37" spans="1:12">
      <c r="A37" t="s">
        <v>17</v>
      </c>
      <c r="B37" t="s">
        <v>164</v>
      </c>
      <c r="C37" t="s">
        <v>168</v>
      </c>
      <c r="D37">
        <v>40</v>
      </c>
      <c r="E37">
        <v>34</v>
      </c>
      <c r="F37">
        <v>35</v>
      </c>
      <c r="G37">
        <v>25</v>
      </c>
      <c r="H37">
        <v>16</v>
      </c>
      <c r="I37">
        <v>10</v>
      </c>
      <c r="J37">
        <v>1382</v>
      </c>
      <c r="K37">
        <v>35.4</v>
      </c>
      <c r="L37">
        <v>46</v>
      </c>
    </row>
    <row r="38" spans="1:12">
      <c r="A38" t="s">
        <v>17</v>
      </c>
      <c r="B38" t="s">
        <v>245</v>
      </c>
      <c r="C38" t="s">
        <v>249</v>
      </c>
      <c r="D38">
        <v>40</v>
      </c>
      <c r="E38">
        <v>34</v>
      </c>
      <c r="F38">
        <v>20</v>
      </c>
      <c r="G38">
        <v>39</v>
      </c>
      <c r="H38">
        <v>3</v>
      </c>
      <c r="I38">
        <v>-19</v>
      </c>
      <c r="J38">
        <v>2617</v>
      </c>
      <c r="K38">
        <v>67.099999999999994</v>
      </c>
      <c r="L38">
        <v>53</v>
      </c>
    </row>
    <row r="39" spans="1:12">
      <c r="A39" t="s">
        <v>17</v>
      </c>
      <c r="B39" t="s">
        <v>111</v>
      </c>
      <c r="C39" t="s">
        <v>114</v>
      </c>
      <c r="D39">
        <v>40</v>
      </c>
      <c r="E39">
        <v>34</v>
      </c>
      <c r="F39">
        <v>75</v>
      </c>
      <c r="G39">
        <v>16</v>
      </c>
      <c r="H39">
        <v>2</v>
      </c>
      <c r="I39">
        <v>59</v>
      </c>
      <c r="J39">
        <v>2587</v>
      </c>
      <c r="K39">
        <v>66.3</v>
      </c>
      <c r="L39">
        <v>41</v>
      </c>
    </row>
    <row r="40" spans="1:12">
      <c r="A40" t="s">
        <v>17</v>
      </c>
      <c r="B40" t="s">
        <v>299</v>
      </c>
      <c r="C40" t="s">
        <v>303</v>
      </c>
      <c r="D40">
        <v>40</v>
      </c>
      <c r="E40">
        <v>34</v>
      </c>
      <c r="F40">
        <v>2</v>
      </c>
      <c r="G40">
        <v>48</v>
      </c>
      <c r="H40">
        <v>2</v>
      </c>
      <c r="I40">
        <v>-46</v>
      </c>
      <c r="J40">
        <v>2898</v>
      </c>
      <c r="K40">
        <v>74.3</v>
      </c>
      <c r="L40">
        <v>68</v>
      </c>
    </row>
    <row r="41" spans="1:12">
      <c r="A41" t="s">
        <v>17</v>
      </c>
      <c r="B41" t="s">
        <v>269</v>
      </c>
      <c r="C41" t="s">
        <v>273</v>
      </c>
      <c r="D41">
        <v>40</v>
      </c>
      <c r="E41">
        <v>34</v>
      </c>
      <c r="F41">
        <v>1</v>
      </c>
      <c r="G41">
        <v>43</v>
      </c>
      <c r="H41">
        <v>1</v>
      </c>
      <c r="I41">
        <v>-42</v>
      </c>
      <c r="J41">
        <v>3155</v>
      </c>
      <c r="K41">
        <v>80.900000000000006</v>
      </c>
      <c r="L41">
        <v>60</v>
      </c>
    </row>
    <row r="42" spans="1:12">
      <c r="A42" t="s">
        <v>17</v>
      </c>
      <c r="B42" t="s">
        <v>128</v>
      </c>
      <c r="C42" t="s">
        <v>132</v>
      </c>
      <c r="D42">
        <v>40</v>
      </c>
      <c r="E42">
        <v>34</v>
      </c>
      <c r="F42">
        <v>8</v>
      </c>
      <c r="G42">
        <v>19</v>
      </c>
      <c r="H42">
        <v>1</v>
      </c>
      <c r="I42">
        <v>-11</v>
      </c>
      <c r="J42">
        <v>6989</v>
      </c>
      <c r="K42">
        <v>179.2</v>
      </c>
      <c r="L42">
        <v>48</v>
      </c>
    </row>
    <row r="43" spans="1:12">
      <c r="A43" t="s">
        <v>17</v>
      </c>
      <c r="B43" t="s">
        <v>1190</v>
      </c>
      <c r="C43" t="s">
        <v>1193</v>
      </c>
      <c r="D43">
        <v>39</v>
      </c>
      <c r="E43">
        <v>28</v>
      </c>
      <c r="F43">
        <v>79</v>
      </c>
      <c r="G43">
        <v>98</v>
      </c>
      <c r="H43">
        <v>58</v>
      </c>
      <c r="I43">
        <v>-19</v>
      </c>
      <c r="J43">
        <v>302</v>
      </c>
      <c r="K43">
        <v>7.9</v>
      </c>
      <c r="L43">
        <v>49</v>
      </c>
    </row>
    <row r="44" spans="1:12">
      <c r="A44" t="s">
        <v>608</v>
      </c>
      <c r="B44" t="s">
        <v>1251</v>
      </c>
      <c r="C44" t="s">
        <v>1252</v>
      </c>
      <c r="D44">
        <v>38</v>
      </c>
      <c r="E44">
        <v>16</v>
      </c>
      <c r="F44">
        <v>41</v>
      </c>
      <c r="G44">
        <v>96</v>
      </c>
      <c r="H44">
        <v>41</v>
      </c>
      <c r="I44">
        <v>-55</v>
      </c>
      <c r="J44">
        <v>805</v>
      </c>
      <c r="K44">
        <v>21.8</v>
      </c>
      <c r="L44">
        <v>71</v>
      </c>
    </row>
    <row r="45" spans="1:12">
      <c r="A45" t="s">
        <v>608</v>
      </c>
      <c r="B45" t="s">
        <v>1253</v>
      </c>
      <c r="C45" t="s">
        <v>1254</v>
      </c>
      <c r="D45">
        <v>38</v>
      </c>
      <c r="E45">
        <v>28</v>
      </c>
      <c r="F45">
        <v>53</v>
      </c>
      <c r="G45">
        <v>87</v>
      </c>
      <c r="H45">
        <v>19</v>
      </c>
      <c r="I45">
        <v>-34</v>
      </c>
      <c r="J45">
        <v>1028</v>
      </c>
      <c r="K45">
        <v>27.8</v>
      </c>
      <c r="L45">
        <v>31</v>
      </c>
    </row>
    <row r="46" spans="1:12">
      <c r="A46" t="s">
        <v>608</v>
      </c>
      <c r="B46" t="s">
        <v>1255</v>
      </c>
      <c r="C46" t="s">
        <v>1256</v>
      </c>
      <c r="D46">
        <v>38</v>
      </c>
      <c r="E46">
        <v>28</v>
      </c>
      <c r="F46">
        <v>5</v>
      </c>
      <c r="G46">
        <v>93</v>
      </c>
      <c r="H46">
        <v>5</v>
      </c>
      <c r="I46">
        <v>-88</v>
      </c>
      <c r="J46">
        <v>2647</v>
      </c>
      <c r="K46">
        <v>71.5</v>
      </c>
      <c r="L46">
        <v>37</v>
      </c>
    </row>
    <row r="47" spans="1:12">
      <c r="A47" t="s">
        <v>608</v>
      </c>
      <c r="B47" t="s">
        <v>1257</v>
      </c>
      <c r="C47" t="s">
        <v>1258</v>
      </c>
      <c r="D47">
        <v>38</v>
      </c>
      <c r="E47">
        <v>28</v>
      </c>
      <c r="F47">
        <v>11</v>
      </c>
      <c r="G47">
        <v>91</v>
      </c>
      <c r="H47">
        <v>4</v>
      </c>
      <c r="I47">
        <v>-80</v>
      </c>
      <c r="J47">
        <v>3212</v>
      </c>
      <c r="K47">
        <v>86.8</v>
      </c>
      <c r="L47">
        <v>44</v>
      </c>
    </row>
    <row r="48" spans="1:12">
      <c r="A48" t="s">
        <v>17</v>
      </c>
      <c r="B48" t="s">
        <v>1259</v>
      </c>
      <c r="C48" t="s">
        <v>1260</v>
      </c>
      <c r="D48">
        <v>37</v>
      </c>
      <c r="E48">
        <v>32</v>
      </c>
      <c r="F48">
        <v>17</v>
      </c>
      <c r="G48">
        <v>89</v>
      </c>
      <c r="H48">
        <v>17</v>
      </c>
      <c r="I48">
        <v>-72</v>
      </c>
      <c r="J48">
        <v>825</v>
      </c>
      <c r="K48">
        <v>22.9</v>
      </c>
      <c r="L48">
        <v>72</v>
      </c>
    </row>
    <row r="49" spans="1:12">
      <c r="A49" t="s">
        <v>17</v>
      </c>
      <c r="B49" t="s">
        <v>1261</v>
      </c>
      <c r="C49" t="s">
        <v>1262</v>
      </c>
      <c r="D49">
        <v>37</v>
      </c>
      <c r="E49">
        <v>32</v>
      </c>
      <c r="F49">
        <v>3</v>
      </c>
      <c r="G49">
        <v>81</v>
      </c>
      <c r="H49">
        <v>3</v>
      </c>
      <c r="I49">
        <v>-78</v>
      </c>
      <c r="J49">
        <v>1955</v>
      </c>
      <c r="K49">
        <v>54.3</v>
      </c>
      <c r="L49">
        <v>75</v>
      </c>
    </row>
    <row r="50" spans="1:12">
      <c r="A50" t="s">
        <v>17</v>
      </c>
      <c r="B50" t="s">
        <v>1263</v>
      </c>
      <c r="C50" t="s">
        <v>1264</v>
      </c>
      <c r="D50">
        <v>37</v>
      </c>
      <c r="E50">
        <v>10</v>
      </c>
      <c r="F50">
        <v>66</v>
      </c>
      <c r="G50">
        <v>99</v>
      </c>
      <c r="H50">
        <v>66</v>
      </c>
      <c r="I50">
        <v>-33</v>
      </c>
      <c r="J50">
        <v>373</v>
      </c>
      <c r="K50">
        <v>10.4</v>
      </c>
      <c r="L50">
        <v>131</v>
      </c>
    </row>
    <row r="51" spans="1:12">
      <c r="A51" t="s">
        <v>608</v>
      </c>
      <c r="B51" t="s">
        <v>809</v>
      </c>
      <c r="C51" t="s">
        <v>813</v>
      </c>
      <c r="D51">
        <v>36</v>
      </c>
      <c r="E51">
        <v>29</v>
      </c>
      <c r="F51">
        <v>60</v>
      </c>
      <c r="G51">
        <v>35</v>
      </c>
      <c r="H51">
        <v>28</v>
      </c>
      <c r="I51">
        <v>25</v>
      </c>
      <c r="J51">
        <v>1622</v>
      </c>
      <c r="K51">
        <v>46.3</v>
      </c>
      <c r="L51">
        <v>43</v>
      </c>
    </row>
    <row r="52" spans="1:12">
      <c r="A52" t="s">
        <v>17</v>
      </c>
      <c r="B52" t="s">
        <v>316</v>
      </c>
      <c r="C52" t="s">
        <v>320</v>
      </c>
      <c r="D52">
        <v>36</v>
      </c>
      <c r="E52">
        <v>33</v>
      </c>
      <c r="F52">
        <v>25</v>
      </c>
      <c r="G52">
        <v>51</v>
      </c>
      <c r="H52">
        <v>8</v>
      </c>
      <c r="I52">
        <v>-26</v>
      </c>
      <c r="J52">
        <v>1371</v>
      </c>
      <c r="K52">
        <v>39.200000000000003</v>
      </c>
      <c r="L52">
        <v>36</v>
      </c>
    </row>
    <row r="53" spans="1:12">
      <c r="A53" t="s">
        <v>17</v>
      </c>
      <c r="B53" t="s">
        <v>1265</v>
      </c>
      <c r="C53" t="s">
        <v>1266</v>
      </c>
      <c r="D53">
        <v>36</v>
      </c>
      <c r="E53">
        <v>31</v>
      </c>
      <c r="F53">
        <v>5</v>
      </c>
      <c r="G53">
        <v>92</v>
      </c>
      <c r="H53">
        <v>5</v>
      </c>
      <c r="I53">
        <v>-87</v>
      </c>
      <c r="J53">
        <v>846</v>
      </c>
      <c r="K53">
        <v>24.2</v>
      </c>
      <c r="L53">
        <v>51</v>
      </c>
    </row>
    <row r="54" spans="1:12">
      <c r="A54" t="s">
        <v>17</v>
      </c>
      <c r="B54" t="s">
        <v>305</v>
      </c>
      <c r="C54" t="s">
        <v>308</v>
      </c>
      <c r="D54">
        <v>36</v>
      </c>
      <c r="E54">
        <v>33</v>
      </c>
      <c r="F54">
        <v>62</v>
      </c>
      <c r="G54">
        <v>49</v>
      </c>
      <c r="H54">
        <v>9</v>
      </c>
      <c r="I54">
        <v>13</v>
      </c>
      <c r="J54">
        <v>1563</v>
      </c>
      <c r="K54">
        <v>44.7</v>
      </c>
      <c r="L54">
        <v>31</v>
      </c>
    </row>
    <row r="55" spans="1:12">
      <c r="A55" t="s">
        <v>17</v>
      </c>
      <c r="B55" t="s">
        <v>1267</v>
      </c>
      <c r="C55" t="s">
        <v>1268</v>
      </c>
      <c r="D55">
        <v>36</v>
      </c>
      <c r="E55">
        <v>26</v>
      </c>
      <c r="F55">
        <v>78</v>
      </c>
      <c r="G55">
        <v>94</v>
      </c>
      <c r="H55">
        <v>70</v>
      </c>
      <c r="I55">
        <v>-16</v>
      </c>
      <c r="J55">
        <v>299</v>
      </c>
      <c r="K55">
        <v>8.5</v>
      </c>
      <c r="L55">
        <v>196</v>
      </c>
    </row>
    <row r="56" spans="1:12">
      <c r="A56" t="s">
        <v>17</v>
      </c>
      <c r="B56" t="s">
        <v>1269</v>
      </c>
      <c r="C56" t="s">
        <v>1270</v>
      </c>
      <c r="D56">
        <v>36</v>
      </c>
      <c r="E56">
        <v>28</v>
      </c>
      <c r="F56">
        <v>67</v>
      </c>
      <c r="G56">
        <v>99</v>
      </c>
      <c r="H56">
        <v>45</v>
      </c>
      <c r="I56">
        <v>-32</v>
      </c>
      <c r="J56">
        <v>611</v>
      </c>
      <c r="K56">
        <v>17.5</v>
      </c>
      <c r="L56">
        <v>122</v>
      </c>
    </row>
    <row r="57" spans="1:12">
      <c r="A57" t="s">
        <v>608</v>
      </c>
      <c r="B57" t="s">
        <v>1271</v>
      </c>
      <c r="C57" t="s">
        <v>1272</v>
      </c>
      <c r="D57">
        <v>36</v>
      </c>
      <c r="E57">
        <v>27</v>
      </c>
      <c r="F57">
        <v>16</v>
      </c>
      <c r="G57">
        <v>82</v>
      </c>
      <c r="H57">
        <v>7</v>
      </c>
      <c r="I57">
        <v>-66</v>
      </c>
      <c r="J57">
        <v>4774</v>
      </c>
      <c r="K57">
        <v>136.4</v>
      </c>
      <c r="L57">
        <v>43</v>
      </c>
    </row>
    <row r="58" spans="1:12">
      <c r="A58" t="s">
        <v>608</v>
      </c>
      <c r="B58" t="s">
        <v>762</v>
      </c>
      <c r="C58" t="s">
        <v>766</v>
      </c>
      <c r="D58">
        <v>36</v>
      </c>
      <c r="E58">
        <v>29</v>
      </c>
      <c r="F58">
        <v>53</v>
      </c>
      <c r="G58">
        <v>27</v>
      </c>
      <c r="H58">
        <v>3</v>
      </c>
      <c r="I58">
        <v>26</v>
      </c>
      <c r="J58">
        <v>4378</v>
      </c>
      <c r="K58">
        <v>125.1</v>
      </c>
      <c r="L58">
        <v>31</v>
      </c>
    </row>
    <row r="59" spans="1:12">
      <c r="A59" t="s">
        <v>17</v>
      </c>
      <c r="B59" t="s">
        <v>590</v>
      </c>
      <c r="C59" t="s">
        <v>594</v>
      </c>
      <c r="D59">
        <v>36</v>
      </c>
      <c r="E59">
        <v>12</v>
      </c>
      <c r="F59">
        <v>95</v>
      </c>
      <c r="G59">
        <v>98</v>
      </c>
      <c r="H59">
        <v>84</v>
      </c>
      <c r="I59">
        <v>-3</v>
      </c>
      <c r="J59">
        <v>209</v>
      </c>
      <c r="K59">
        <v>6</v>
      </c>
      <c r="L59">
        <v>572</v>
      </c>
    </row>
    <row r="60" spans="1:12">
      <c r="A60" t="s">
        <v>17</v>
      </c>
      <c r="B60" t="s">
        <v>398</v>
      </c>
      <c r="C60" t="s">
        <v>402</v>
      </c>
      <c r="D60">
        <v>36</v>
      </c>
      <c r="E60">
        <v>33</v>
      </c>
      <c r="F60">
        <v>75</v>
      </c>
      <c r="G60">
        <v>65</v>
      </c>
      <c r="H60">
        <v>15</v>
      </c>
      <c r="I60">
        <v>10</v>
      </c>
      <c r="J60">
        <v>414</v>
      </c>
      <c r="K60">
        <v>11.8</v>
      </c>
      <c r="L60">
        <v>39</v>
      </c>
    </row>
    <row r="61" spans="1:12">
      <c r="A61" t="s">
        <v>608</v>
      </c>
      <c r="B61" t="s">
        <v>1273</v>
      </c>
      <c r="C61" t="s">
        <v>1274</v>
      </c>
      <c r="D61">
        <v>36</v>
      </c>
      <c r="E61">
        <v>27</v>
      </c>
      <c r="F61">
        <v>2</v>
      </c>
      <c r="G61">
        <v>94</v>
      </c>
      <c r="H61">
        <v>2</v>
      </c>
      <c r="I61">
        <v>-92</v>
      </c>
      <c r="J61">
        <v>2529</v>
      </c>
      <c r="K61">
        <v>72.3</v>
      </c>
      <c r="L61">
        <v>50</v>
      </c>
    </row>
    <row r="62" spans="1:12">
      <c r="A62" t="s">
        <v>17</v>
      </c>
      <c r="B62" t="s">
        <v>364</v>
      </c>
      <c r="C62" t="s">
        <v>367</v>
      </c>
      <c r="D62">
        <v>36</v>
      </c>
      <c r="E62">
        <v>33</v>
      </c>
      <c r="F62">
        <v>36</v>
      </c>
      <c r="G62">
        <v>59</v>
      </c>
      <c r="H62">
        <v>13</v>
      </c>
      <c r="I62">
        <v>-23</v>
      </c>
      <c r="J62">
        <v>772</v>
      </c>
      <c r="K62">
        <v>22.1</v>
      </c>
      <c r="L62">
        <v>37</v>
      </c>
    </row>
    <row r="63" spans="1:12">
      <c r="A63" t="s">
        <v>608</v>
      </c>
      <c r="B63" t="s">
        <v>1275</v>
      </c>
      <c r="C63" t="s">
        <v>1276</v>
      </c>
      <c r="D63">
        <v>36</v>
      </c>
      <c r="E63">
        <v>6</v>
      </c>
      <c r="F63">
        <v>99</v>
      </c>
      <c r="G63">
        <v>14</v>
      </c>
      <c r="H63">
        <v>14</v>
      </c>
      <c r="I63">
        <v>85</v>
      </c>
      <c r="J63">
        <v>5698</v>
      </c>
      <c r="K63">
        <v>162.80000000000001</v>
      </c>
      <c r="L63">
        <v>91</v>
      </c>
    </row>
    <row r="64" spans="1:12">
      <c r="A64" t="s">
        <v>608</v>
      </c>
      <c r="B64" t="s">
        <v>1277</v>
      </c>
      <c r="C64" t="s">
        <v>1278</v>
      </c>
      <c r="D64">
        <v>36</v>
      </c>
      <c r="E64">
        <v>27</v>
      </c>
      <c r="F64">
        <v>14</v>
      </c>
      <c r="G64">
        <v>99</v>
      </c>
      <c r="H64">
        <v>9</v>
      </c>
      <c r="I64">
        <v>-85</v>
      </c>
      <c r="J64">
        <v>2548</v>
      </c>
      <c r="K64">
        <v>72.8</v>
      </c>
      <c r="L64">
        <v>37</v>
      </c>
    </row>
    <row r="65" spans="1:12">
      <c r="A65" t="s">
        <v>17</v>
      </c>
      <c r="B65" t="s">
        <v>81</v>
      </c>
      <c r="C65" t="s">
        <v>85</v>
      </c>
      <c r="D65">
        <v>36</v>
      </c>
      <c r="E65">
        <v>33</v>
      </c>
      <c r="F65">
        <v>40</v>
      </c>
      <c r="G65">
        <v>11</v>
      </c>
      <c r="H65">
        <v>3</v>
      </c>
      <c r="I65">
        <v>29</v>
      </c>
      <c r="J65">
        <v>3427</v>
      </c>
      <c r="K65">
        <v>97.9</v>
      </c>
      <c r="L65">
        <v>40</v>
      </c>
    </row>
    <row r="66" spans="1:12">
      <c r="A66" t="s">
        <v>17</v>
      </c>
      <c r="B66" t="s">
        <v>210</v>
      </c>
      <c r="C66" t="s">
        <v>214</v>
      </c>
      <c r="D66">
        <v>35</v>
      </c>
      <c r="E66">
        <v>32</v>
      </c>
      <c r="F66">
        <v>70</v>
      </c>
      <c r="G66">
        <v>33</v>
      </c>
      <c r="H66">
        <v>8</v>
      </c>
      <c r="I66">
        <v>37</v>
      </c>
      <c r="J66">
        <v>1397</v>
      </c>
      <c r="K66">
        <v>41.1</v>
      </c>
      <c r="L66">
        <v>38</v>
      </c>
    </row>
    <row r="67" spans="1:12">
      <c r="A67" t="s">
        <v>608</v>
      </c>
      <c r="B67" t="s">
        <v>1279</v>
      </c>
      <c r="C67" t="s">
        <v>1280</v>
      </c>
      <c r="D67">
        <v>35</v>
      </c>
      <c r="E67">
        <v>25</v>
      </c>
      <c r="F67">
        <v>98</v>
      </c>
      <c r="G67">
        <v>96</v>
      </c>
      <c r="H67">
        <v>48</v>
      </c>
      <c r="I67">
        <v>2</v>
      </c>
      <c r="J67">
        <v>1127</v>
      </c>
      <c r="K67">
        <v>33.1</v>
      </c>
      <c r="L67">
        <v>180</v>
      </c>
    </row>
    <row r="68" spans="1:12">
      <c r="A68" t="s">
        <v>608</v>
      </c>
      <c r="B68" t="s">
        <v>1281</v>
      </c>
      <c r="C68" t="s">
        <v>1282</v>
      </c>
      <c r="D68">
        <v>35</v>
      </c>
      <c r="E68">
        <v>26</v>
      </c>
      <c r="F68">
        <v>6</v>
      </c>
      <c r="G68">
        <v>95</v>
      </c>
      <c r="H68">
        <v>6</v>
      </c>
      <c r="I68">
        <v>-89</v>
      </c>
      <c r="J68">
        <v>2314</v>
      </c>
      <c r="K68">
        <v>68.099999999999994</v>
      </c>
      <c r="L68">
        <v>59</v>
      </c>
    </row>
    <row r="69" spans="1:12">
      <c r="A69" t="s">
        <v>608</v>
      </c>
      <c r="B69" t="s">
        <v>1283</v>
      </c>
      <c r="C69" t="s">
        <v>1284</v>
      </c>
      <c r="D69">
        <v>35</v>
      </c>
      <c r="E69">
        <v>26</v>
      </c>
      <c r="F69">
        <v>25</v>
      </c>
      <c r="G69">
        <v>94</v>
      </c>
      <c r="H69">
        <v>9</v>
      </c>
      <c r="I69">
        <v>-69</v>
      </c>
      <c r="J69">
        <v>1621</v>
      </c>
      <c r="K69">
        <v>47.7</v>
      </c>
      <c r="L69">
        <v>30</v>
      </c>
    </row>
    <row r="70" spans="1:12">
      <c r="A70" t="s">
        <v>608</v>
      </c>
      <c r="B70" t="s">
        <v>786</v>
      </c>
      <c r="C70" t="s">
        <v>790</v>
      </c>
      <c r="D70">
        <v>35</v>
      </c>
      <c r="E70">
        <v>28</v>
      </c>
      <c r="F70">
        <v>96</v>
      </c>
      <c r="G70">
        <v>31</v>
      </c>
      <c r="H70">
        <v>29</v>
      </c>
      <c r="I70">
        <v>65</v>
      </c>
      <c r="J70">
        <v>1337</v>
      </c>
      <c r="K70">
        <v>39.299999999999997</v>
      </c>
      <c r="L70">
        <v>38</v>
      </c>
    </row>
    <row r="71" spans="1:12">
      <c r="A71" t="s">
        <v>17</v>
      </c>
      <c r="B71" t="s">
        <v>1285</v>
      </c>
      <c r="C71" t="s">
        <v>1286</v>
      </c>
      <c r="D71">
        <v>35</v>
      </c>
      <c r="E71">
        <v>19</v>
      </c>
      <c r="F71">
        <v>74</v>
      </c>
      <c r="G71">
        <v>97</v>
      </c>
      <c r="H71">
        <v>63</v>
      </c>
      <c r="I71">
        <v>-23</v>
      </c>
      <c r="J71">
        <v>485</v>
      </c>
      <c r="K71">
        <v>14.3</v>
      </c>
      <c r="L71">
        <v>223</v>
      </c>
    </row>
    <row r="72" spans="1:12">
      <c r="A72" t="s">
        <v>608</v>
      </c>
      <c r="B72" t="s">
        <v>1287</v>
      </c>
      <c r="C72" t="s">
        <v>1288</v>
      </c>
      <c r="D72">
        <v>35</v>
      </c>
      <c r="E72">
        <v>26</v>
      </c>
      <c r="F72">
        <v>28</v>
      </c>
      <c r="G72">
        <v>99</v>
      </c>
      <c r="H72">
        <v>25</v>
      </c>
      <c r="I72">
        <v>-71</v>
      </c>
      <c r="J72">
        <v>1837</v>
      </c>
      <c r="K72">
        <v>54</v>
      </c>
      <c r="L72">
        <v>62</v>
      </c>
    </row>
    <row r="73" spans="1:12">
      <c r="A73" t="s">
        <v>17</v>
      </c>
      <c r="B73" t="s">
        <v>257</v>
      </c>
      <c r="C73" t="s">
        <v>261</v>
      </c>
      <c r="D73">
        <v>34</v>
      </c>
      <c r="E73">
        <v>31</v>
      </c>
      <c r="F73">
        <v>84</v>
      </c>
      <c r="G73">
        <v>41</v>
      </c>
      <c r="H73">
        <v>2</v>
      </c>
      <c r="I73">
        <v>43</v>
      </c>
      <c r="J73">
        <v>4560</v>
      </c>
      <c r="K73">
        <v>138.19999999999999</v>
      </c>
      <c r="L73">
        <v>10</v>
      </c>
    </row>
    <row r="74" spans="1:12">
      <c r="A74" t="s">
        <v>17</v>
      </c>
      <c r="B74" t="s">
        <v>1289</v>
      </c>
      <c r="C74" t="s">
        <v>1290</v>
      </c>
      <c r="D74">
        <v>34</v>
      </c>
      <c r="E74">
        <v>10</v>
      </c>
      <c r="F74">
        <v>100</v>
      </c>
      <c r="G74">
        <v>91</v>
      </c>
      <c r="H74">
        <v>90</v>
      </c>
      <c r="I74">
        <v>9</v>
      </c>
      <c r="J74">
        <v>498</v>
      </c>
      <c r="K74">
        <v>15.1</v>
      </c>
      <c r="L74">
        <v>76</v>
      </c>
    </row>
    <row r="75" spans="1:12">
      <c r="A75" t="s">
        <v>17</v>
      </c>
      <c r="B75" t="s">
        <v>75</v>
      </c>
      <c r="C75" t="s">
        <v>79</v>
      </c>
      <c r="D75">
        <v>33</v>
      </c>
      <c r="E75">
        <v>30</v>
      </c>
      <c r="F75">
        <v>87</v>
      </c>
      <c r="G75">
        <v>10</v>
      </c>
      <c r="H75">
        <v>1</v>
      </c>
      <c r="I75">
        <v>77</v>
      </c>
      <c r="J75">
        <v>5817</v>
      </c>
      <c r="K75">
        <v>181.8</v>
      </c>
      <c r="L75">
        <v>32</v>
      </c>
    </row>
    <row r="76" spans="1:12">
      <c r="A76" t="s">
        <v>608</v>
      </c>
      <c r="B76" t="s">
        <v>1291</v>
      </c>
      <c r="C76" t="s">
        <v>1292</v>
      </c>
      <c r="D76">
        <v>33</v>
      </c>
      <c r="E76">
        <v>25</v>
      </c>
      <c r="F76">
        <v>15</v>
      </c>
      <c r="G76">
        <v>94</v>
      </c>
      <c r="H76">
        <v>15</v>
      </c>
      <c r="I76">
        <v>-79</v>
      </c>
      <c r="J76">
        <v>1564</v>
      </c>
      <c r="K76">
        <v>48.9</v>
      </c>
      <c r="L76">
        <v>58</v>
      </c>
    </row>
    <row r="77" spans="1:12">
      <c r="A77" t="s">
        <v>17</v>
      </c>
      <c r="B77" t="s">
        <v>1293</v>
      </c>
      <c r="C77" t="s">
        <v>1294</v>
      </c>
      <c r="D77">
        <v>33</v>
      </c>
      <c r="E77">
        <v>28</v>
      </c>
      <c r="F77">
        <v>33</v>
      </c>
      <c r="G77">
        <v>92</v>
      </c>
      <c r="H77">
        <v>26</v>
      </c>
      <c r="I77">
        <v>-59</v>
      </c>
      <c r="J77">
        <v>322</v>
      </c>
      <c r="K77">
        <v>10.1</v>
      </c>
      <c r="L77">
        <v>133</v>
      </c>
    </row>
    <row r="78" spans="1:12">
      <c r="A78" t="s">
        <v>17</v>
      </c>
      <c r="B78" t="s">
        <v>1295</v>
      </c>
      <c r="C78" t="s">
        <v>1296</v>
      </c>
      <c r="D78">
        <v>33</v>
      </c>
      <c r="E78">
        <v>28</v>
      </c>
      <c r="F78">
        <v>4</v>
      </c>
      <c r="G78">
        <v>100</v>
      </c>
      <c r="H78">
        <v>3</v>
      </c>
      <c r="I78">
        <v>-96</v>
      </c>
      <c r="J78">
        <v>1687</v>
      </c>
      <c r="K78">
        <v>52.7</v>
      </c>
      <c r="L78">
        <v>67</v>
      </c>
    </row>
    <row r="79" spans="1:12">
      <c r="A79" t="s">
        <v>608</v>
      </c>
      <c r="B79" t="s">
        <v>1297</v>
      </c>
      <c r="C79" t="s">
        <v>1298</v>
      </c>
      <c r="D79">
        <v>33</v>
      </c>
      <c r="E79">
        <v>25</v>
      </c>
      <c r="F79">
        <v>17</v>
      </c>
      <c r="G79">
        <v>70</v>
      </c>
      <c r="H79">
        <v>14</v>
      </c>
      <c r="I79">
        <v>-53</v>
      </c>
      <c r="J79">
        <v>1314</v>
      </c>
      <c r="K79">
        <v>41.1</v>
      </c>
      <c r="L79">
        <v>35</v>
      </c>
    </row>
    <row r="80" spans="1:12">
      <c r="A80" t="s">
        <v>608</v>
      </c>
      <c r="B80" t="s">
        <v>792</v>
      </c>
      <c r="C80" t="s">
        <v>796</v>
      </c>
      <c r="D80">
        <v>32</v>
      </c>
      <c r="E80">
        <v>25</v>
      </c>
      <c r="F80">
        <v>90</v>
      </c>
      <c r="G80">
        <v>32</v>
      </c>
      <c r="H80">
        <v>30</v>
      </c>
      <c r="I80">
        <v>58</v>
      </c>
      <c r="J80">
        <v>1535</v>
      </c>
      <c r="K80">
        <v>49.5</v>
      </c>
      <c r="L80">
        <v>33</v>
      </c>
    </row>
    <row r="81" spans="1:12">
      <c r="A81" t="s">
        <v>17</v>
      </c>
      <c r="B81" t="s">
        <v>1299</v>
      </c>
      <c r="C81" t="s">
        <v>1300</v>
      </c>
      <c r="D81">
        <v>32</v>
      </c>
      <c r="E81">
        <v>27</v>
      </c>
      <c r="F81">
        <v>9</v>
      </c>
      <c r="G81">
        <v>94</v>
      </c>
      <c r="H81">
        <v>9</v>
      </c>
      <c r="I81">
        <v>-85</v>
      </c>
      <c r="J81">
        <v>985</v>
      </c>
      <c r="K81">
        <v>31.8</v>
      </c>
      <c r="L81">
        <v>99</v>
      </c>
    </row>
    <row r="82" spans="1:12">
      <c r="A82" t="s">
        <v>17</v>
      </c>
      <c r="B82" t="s">
        <v>275</v>
      </c>
      <c r="C82" t="s">
        <v>279</v>
      </c>
      <c r="D82">
        <v>32</v>
      </c>
      <c r="E82">
        <v>27</v>
      </c>
      <c r="F82">
        <v>86</v>
      </c>
      <c r="G82">
        <v>44</v>
      </c>
      <c r="H82">
        <v>19</v>
      </c>
      <c r="I82">
        <v>42</v>
      </c>
      <c r="J82">
        <v>1023</v>
      </c>
      <c r="K82">
        <v>33</v>
      </c>
      <c r="L82">
        <v>43</v>
      </c>
    </row>
    <row r="83" spans="1:12">
      <c r="A83" t="s">
        <v>608</v>
      </c>
      <c r="B83" t="s">
        <v>1030</v>
      </c>
      <c r="C83" t="s">
        <v>1033</v>
      </c>
      <c r="D83">
        <v>32</v>
      </c>
      <c r="E83">
        <v>25</v>
      </c>
      <c r="F83">
        <v>85</v>
      </c>
      <c r="G83">
        <v>73</v>
      </c>
      <c r="H83">
        <v>19</v>
      </c>
      <c r="I83">
        <v>12</v>
      </c>
      <c r="J83">
        <v>792</v>
      </c>
      <c r="K83">
        <v>25.5</v>
      </c>
      <c r="L83">
        <v>35</v>
      </c>
    </row>
    <row r="84" spans="1:12">
      <c r="A84" t="s">
        <v>608</v>
      </c>
      <c r="B84" t="s">
        <v>1086</v>
      </c>
      <c r="C84" t="s">
        <v>1089</v>
      </c>
      <c r="D84">
        <v>32</v>
      </c>
      <c r="E84">
        <v>25</v>
      </c>
      <c r="F84">
        <v>87</v>
      </c>
      <c r="G84">
        <v>83</v>
      </c>
      <c r="H84">
        <v>21</v>
      </c>
      <c r="I84">
        <v>4</v>
      </c>
      <c r="J84">
        <v>613</v>
      </c>
      <c r="K84">
        <v>19.8</v>
      </c>
      <c r="L84">
        <v>35</v>
      </c>
    </row>
    <row r="85" spans="1:12">
      <c r="A85" t="s">
        <v>608</v>
      </c>
      <c r="B85" t="s">
        <v>1301</v>
      </c>
      <c r="C85" t="s">
        <v>1302</v>
      </c>
      <c r="D85">
        <v>32</v>
      </c>
      <c r="E85">
        <v>24</v>
      </c>
      <c r="F85">
        <v>60</v>
      </c>
      <c r="G85">
        <v>83</v>
      </c>
      <c r="H85">
        <v>52</v>
      </c>
      <c r="I85">
        <v>-23</v>
      </c>
      <c r="J85">
        <v>796</v>
      </c>
      <c r="K85">
        <v>25.7</v>
      </c>
      <c r="L85">
        <v>41</v>
      </c>
    </row>
    <row r="86" spans="1:12">
      <c r="A86" t="s">
        <v>17</v>
      </c>
      <c r="B86" t="s">
        <v>439</v>
      </c>
      <c r="C86" t="s">
        <v>443</v>
      </c>
      <c r="D86">
        <v>31</v>
      </c>
      <c r="E86">
        <v>28</v>
      </c>
      <c r="F86">
        <v>93</v>
      </c>
      <c r="G86">
        <v>72</v>
      </c>
      <c r="H86">
        <v>28</v>
      </c>
      <c r="I86">
        <v>21</v>
      </c>
      <c r="J86">
        <v>167</v>
      </c>
      <c r="K86">
        <v>5.6</v>
      </c>
      <c r="L86">
        <v>527</v>
      </c>
    </row>
    <row r="87" spans="1:12">
      <c r="A87" t="s">
        <v>17</v>
      </c>
      <c r="B87" t="s">
        <v>293</v>
      </c>
      <c r="C87" t="s">
        <v>297</v>
      </c>
      <c r="D87">
        <v>31</v>
      </c>
      <c r="E87">
        <v>28</v>
      </c>
      <c r="F87">
        <v>62</v>
      </c>
      <c r="G87">
        <v>47</v>
      </c>
      <c r="H87">
        <v>3</v>
      </c>
      <c r="I87">
        <v>15</v>
      </c>
      <c r="J87">
        <v>2049</v>
      </c>
      <c r="K87">
        <v>68.3</v>
      </c>
      <c r="L87">
        <v>19</v>
      </c>
    </row>
    <row r="88" spans="1:12">
      <c r="A88" t="s">
        <v>17</v>
      </c>
      <c r="B88" t="s">
        <v>1303</v>
      </c>
      <c r="C88" t="s">
        <v>1304</v>
      </c>
      <c r="D88">
        <v>31</v>
      </c>
      <c r="E88">
        <v>24</v>
      </c>
      <c r="F88">
        <v>37</v>
      </c>
      <c r="G88">
        <v>99</v>
      </c>
      <c r="H88">
        <v>27</v>
      </c>
      <c r="I88">
        <v>-62</v>
      </c>
      <c r="J88">
        <v>1104</v>
      </c>
      <c r="K88">
        <v>36.799999999999997</v>
      </c>
      <c r="L88">
        <v>117</v>
      </c>
    </row>
    <row r="89" spans="1:12">
      <c r="A89" t="s">
        <v>608</v>
      </c>
      <c r="B89" t="s">
        <v>709</v>
      </c>
      <c r="C89" t="s">
        <v>713</v>
      </c>
      <c r="D89">
        <v>31</v>
      </c>
      <c r="E89">
        <v>24</v>
      </c>
      <c r="F89">
        <v>84</v>
      </c>
      <c r="G89">
        <v>18</v>
      </c>
      <c r="H89">
        <v>14</v>
      </c>
      <c r="I89">
        <v>66</v>
      </c>
      <c r="J89">
        <v>2155</v>
      </c>
      <c r="K89">
        <v>71.8</v>
      </c>
      <c r="L89">
        <v>31</v>
      </c>
    </row>
    <row r="90" spans="1:12">
      <c r="A90" t="s">
        <v>608</v>
      </c>
      <c r="B90" t="s">
        <v>1013</v>
      </c>
      <c r="C90" t="s">
        <v>1016</v>
      </c>
      <c r="D90">
        <v>31</v>
      </c>
      <c r="E90">
        <v>24</v>
      </c>
      <c r="F90">
        <v>63</v>
      </c>
      <c r="G90">
        <v>70</v>
      </c>
      <c r="H90">
        <v>26</v>
      </c>
      <c r="I90">
        <v>-7</v>
      </c>
      <c r="J90">
        <v>1120</v>
      </c>
      <c r="K90">
        <v>37.299999999999997</v>
      </c>
      <c r="L90">
        <v>27</v>
      </c>
    </row>
    <row r="91" spans="1:12">
      <c r="A91" t="s">
        <v>608</v>
      </c>
      <c r="B91" t="s">
        <v>1305</v>
      </c>
      <c r="C91" t="s">
        <v>1306</v>
      </c>
      <c r="D91">
        <v>30</v>
      </c>
      <c r="E91">
        <v>22</v>
      </c>
      <c r="F91">
        <v>33</v>
      </c>
      <c r="G91">
        <v>98</v>
      </c>
      <c r="H91">
        <v>33</v>
      </c>
      <c r="I91">
        <v>-65</v>
      </c>
      <c r="J91">
        <v>228</v>
      </c>
      <c r="K91">
        <v>7.9</v>
      </c>
      <c r="L91">
        <v>43</v>
      </c>
    </row>
    <row r="92" spans="1:12">
      <c r="A92" t="s">
        <v>17</v>
      </c>
      <c r="B92" t="s">
        <v>1307</v>
      </c>
      <c r="C92" t="s">
        <v>1308</v>
      </c>
      <c r="D92">
        <v>29</v>
      </c>
      <c r="E92">
        <v>25</v>
      </c>
      <c r="F92">
        <v>88</v>
      </c>
      <c r="G92">
        <v>100</v>
      </c>
      <c r="H92">
        <v>73</v>
      </c>
      <c r="I92">
        <v>-12</v>
      </c>
      <c r="J92">
        <v>367</v>
      </c>
      <c r="K92">
        <v>13.1</v>
      </c>
      <c r="L92">
        <v>72</v>
      </c>
    </row>
    <row r="93" spans="1:12">
      <c r="A93" t="s">
        <v>17</v>
      </c>
      <c r="B93" t="s">
        <v>1309</v>
      </c>
      <c r="C93" t="s">
        <v>1310</v>
      </c>
      <c r="D93">
        <v>29</v>
      </c>
      <c r="E93">
        <v>25</v>
      </c>
      <c r="F93">
        <v>61</v>
      </c>
      <c r="G93">
        <v>82</v>
      </c>
      <c r="H93">
        <v>48</v>
      </c>
      <c r="I93">
        <v>-21</v>
      </c>
      <c r="J93">
        <v>463</v>
      </c>
      <c r="K93">
        <v>16.5</v>
      </c>
      <c r="L93">
        <v>117</v>
      </c>
    </row>
    <row r="94" spans="1:12">
      <c r="A94" t="s">
        <v>17</v>
      </c>
      <c r="B94" t="s">
        <v>1311</v>
      </c>
      <c r="C94" t="s">
        <v>1312</v>
      </c>
      <c r="D94">
        <v>29</v>
      </c>
      <c r="E94">
        <v>14</v>
      </c>
      <c r="F94">
        <v>89</v>
      </c>
      <c r="G94">
        <v>99</v>
      </c>
      <c r="H94">
        <v>76</v>
      </c>
      <c r="I94">
        <v>-10</v>
      </c>
      <c r="J94">
        <v>322</v>
      </c>
      <c r="K94">
        <v>11.5</v>
      </c>
      <c r="L94">
        <v>77</v>
      </c>
    </row>
    <row r="95" spans="1:12">
      <c r="A95" t="s">
        <v>608</v>
      </c>
      <c r="B95" t="s">
        <v>1074</v>
      </c>
      <c r="C95" t="s">
        <v>1078</v>
      </c>
      <c r="D95">
        <v>29</v>
      </c>
      <c r="E95">
        <v>23</v>
      </c>
      <c r="F95">
        <v>52</v>
      </c>
      <c r="G95">
        <v>81</v>
      </c>
      <c r="H95">
        <v>25</v>
      </c>
      <c r="I95">
        <v>-29</v>
      </c>
      <c r="J95">
        <v>633</v>
      </c>
      <c r="K95">
        <v>22.6</v>
      </c>
      <c r="L95">
        <v>29</v>
      </c>
    </row>
    <row r="96" spans="1:12">
      <c r="A96" t="s">
        <v>608</v>
      </c>
      <c r="B96" t="s">
        <v>1313</v>
      </c>
      <c r="C96" t="s">
        <v>1314</v>
      </c>
      <c r="D96">
        <v>29</v>
      </c>
      <c r="E96">
        <v>21</v>
      </c>
      <c r="F96">
        <v>26</v>
      </c>
      <c r="G96">
        <v>100</v>
      </c>
      <c r="H96">
        <v>24</v>
      </c>
      <c r="I96">
        <v>-74</v>
      </c>
      <c r="J96">
        <v>853</v>
      </c>
      <c r="K96">
        <v>30.5</v>
      </c>
      <c r="L96">
        <v>51</v>
      </c>
    </row>
    <row r="97" spans="1:12">
      <c r="A97" t="s">
        <v>608</v>
      </c>
      <c r="B97" t="s">
        <v>697</v>
      </c>
      <c r="C97" t="s">
        <v>701</v>
      </c>
      <c r="D97">
        <v>29</v>
      </c>
      <c r="E97">
        <v>23</v>
      </c>
      <c r="F97">
        <v>94</v>
      </c>
      <c r="G97">
        <v>16</v>
      </c>
      <c r="H97">
        <v>16</v>
      </c>
      <c r="I97">
        <v>78</v>
      </c>
      <c r="J97">
        <v>1652</v>
      </c>
      <c r="K97">
        <v>59</v>
      </c>
      <c r="L97">
        <v>31</v>
      </c>
    </row>
    <row r="98" spans="1:12">
      <c r="A98" t="s">
        <v>17</v>
      </c>
      <c r="B98" t="s">
        <v>1315</v>
      </c>
      <c r="C98" t="s">
        <v>1316</v>
      </c>
      <c r="D98">
        <v>29</v>
      </c>
      <c r="E98">
        <v>25</v>
      </c>
      <c r="F98">
        <v>68</v>
      </c>
      <c r="G98">
        <v>95</v>
      </c>
      <c r="H98">
        <v>66</v>
      </c>
      <c r="I98">
        <v>-27</v>
      </c>
      <c r="J98">
        <v>371</v>
      </c>
      <c r="K98">
        <v>13.2</v>
      </c>
      <c r="L98">
        <v>44</v>
      </c>
    </row>
    <row r="99" spans="1:12">
      <c r="A99" t="s">
        <v>17</v>
      </c>
      <c r="B99" t="s">
        <v>1317</v>
      </c>
      <c r="C99" t="s">
        <v>1318</v>
      </c>
      <c r="D99">
        <v>29</v>
      </c>
      <c r="E99">
        <v>12</v>
      </c>
      <c r="F99">
        <v>91</v>
      </c>
      <c r="G99">
        <v>91</v>
      </c>
      <c r="H99">
        <v>71</v>
      </c>
      <c r="I99">
        <v>0</v>
      </c>
      <c r="J99">
        <v>109</v>
      </c>
      <c r="K99">
        <v>3.9</v>
      </c>
      <c r="L99">
        <v>119</v>
      </c>
    </row>
    <row r="100" spans="1:12">
      <c r="A100" t="s">
        <v>17</v>
      </c>
      <c r="B100" t="s">
        <v>1319</v>
      </c>
      <c r="C100" t="s">
        <v>1320</v>
      </c>
      <c r="D100">
        <v>29</v>
      </c>
      <c r="E100">
        <v>25</v>
      </c>
      <c r="F100">
        <v>16</v>
      </c>
      <c r="G100">
        <v>97</v>
      </c>
      <c r="H100">
        <v>16</v>
      </c>
      <c r="I100">
        <v>-81</v>
      </c>
      <c r="J100">
        <v>557</v>
      </c>
      <c r="K100">
        <v>19.899999999999999</v>
      </c>
      <c r="L100">
        <v>56</v>
      </c>
    </row>
    <row r="101" spans="1:12">
      <c r="A101" t="s">
        <v>608</v>
      </c>
      <c r="B101" t="s">
        <v>1321</v>
      </c>
      <c r="C101" t="s">
        <v>1322</v>
      </c>
      <c r="D101">
        <v>28</v>
      </c>
      <c r="E101">
        <v>12</v>
      </c>
      <c r="F101">
        <v>65</v>
      </c>
      <c r="G101">
        <v>96</v>
      </c>
      <c r="H101">
        <v>54</v>
      </c>
      <c r="I101">
        <v>-31</v>
      </c>
      <c r="J101">
        <v>384</v>
      </c>
      <c r="K101">
        <v>14.2</v>
      </c>
      <c r="L101">
        <v>1030</v>
      </c>
    </row>
    <row r="102" spans="1:12">
      <c r="A102" t="s">
        <v>608</v>
      </c>
      <c r="B102" t="s">
        <v>1323</v>
      </c>
      <c r="C102" t="s">
        <v>1324</v>
      </c>
      <c r="D102">
        <v>28</v>
      </c>
      <c r="E102">
        <v>20</v>
      </c>
      <c r="F102">
        <v>93</v>
      </c>
      <c r="G102">
        <v>100</v>
      </c>
      <c r="H102">
        <v>55</v>
      </c>
      <c r="I102">
        <v>-7</v>
      </c>
      <c r="J102">
        <v>470</v>
      </c>
      <c r="K102">
        <v>17.399999999999999</v>
      </c>
      <c r="L102">
        <v>28</v>
      </c>
    </row>
    <row r="103" spans="1:12">
      <c r="A103" t="s">
        <v>17</v>
      </c>
      <c r="B103" t="s">
        <v>1194</v>
      </c>
      <c r="C103" t="s">
        <v>1196</v>
      </c>
      <c r="D103">
        <v>28</v>
      </c>
      <c r="E103">
        <v>26</v>
      </c>
      <c r="F103">
        <v>63</v>
      </c>
      <c r="G103">
        <v>92</v>
      </c>
      <c r="H103">
        <v>16</v>
      </c>
      <c r="I103">
        <v>-29</v>
      </c>
      <c r="J103">
        <v>581</v>
      </c>
      <c r="K103">
        <v>21.5</v>
      </c>
      <c r="L103">
        <v>19</v>
      </c>
    </row>
    <row r="104" spans="1:12">
      <c r="A104" t="s">
        <v>608</v>
      </c>
      <c r="B104" t="s">
        <v>1325</v>
      </c>
      <c r="C104" t="s">
        <v>1326</v>
      </c>
      <c r="D104">
        <v>28</v>
      </c>
      <c r="E104">
        <v>20</v>
      </c>
      <c r="F104">
        <v>54</v>
      </c>
      <c r="G104">
        <v>88</v>
      </c>
      <c r="H104">
        <v>43</v>
      </c>
      <c r="I104">
        <v>-34</v>
      </c>
      <c r="J104">
        <v>438</v>
      </c>
      <c r="K104">
        <v>16.2</v>
      </c>
      <c r="L104">
        <v>41</v>
      </c>
    </row>
    <row r="105" spans="1:12">
      <c r="A105" t="s">
        <v>17</v>
      </c>
      <c r="B105" t="s">
        <v>170</v>
      </c>
      <c r="C105" t="s">
        <v>174</v>
      </c>
      <c r="D105">
        <v>28</v>
      </c>
      <c r="E105">
        <v>26</v>
      </c>
      <c r="F105">
        <v>82</v>
      </c>
      <c r="G105">
        <v>26</v>
      </c>
      <c r="H105">
        <v>19</v>
      </c>
      <c r="I105">
        <v>56</v>
      </c>
      <c r="J105">
        <v>987</v>
      </c>
      <c r="K105">
        <v>36.6</v>
      </c>
      <c r="L105">
        <v>33</v>
      </c>
    </row>
    <row r="106" spans="1:12">
      <c r="A106" t="s">
        <v>17</v>
      </c>
      <c r="B106" t="s">
        <v>602</v>
      </c>
      <c r="C106" t="s">
        <v>606</v>
      </c>
      <c r="D106">
        <v>28</v>
      </c>
      <c r="E106">
        <v>10</v>
      </c>
      <c r="F106">
        <v>97</v>
      </c>
      <c r="G106">
        <v>100</v>
      </c>
      <c r="H106">
        <v>94</v>
      </c>
      <c r="I106">
        <v>-3</v>
      </c>
      <c r="J106">
        <v>226</v>
      </c>
      <c r="K106">
        <v>8.4</v>
      </c>
      <c r="L106">
        <v>1367</v>
      </c>
    </row>
    <row r="107" spans="1:12">
      <c r="A107" t="s">
        <v>17</v>
      </c>
      <c r="B107" t="s">
        <v>1327</v>
      </c>
      <c r="C107" t="s">
        <v>1328</v>
      </c>
      <c r="D107">
        <v>28</v>
      </c>
      <c r="E107">
        <v>26</v>
      </c>
      <c r="F107">
        <v>37</v>
      </c>
      <c r="G107">
        <v>73</v>
      </c>
      <c r="H107">
        <v>13</v>
      </c>
      <c r="I107">
        <v>-36</v>
      </c>
      <c r="J107">
        <v>761</v>
      </c>
      <c r="K107">
        <v>28.2</v>
      </c>
      <c r="L107">
        <v>11</v>
      </c>
    </row>
    <row r="108" spans="1:12">
      <c r="A108" t="s">
        <v>17</v>
      </c>
      <c r="B108" t="s">
        <v>1329</v>
      </c>
      <c r="C108" t="s">
        <v>1330</v>
      </c>
      <c r="D108">
        <v>28</v>
      </c>
      <c r="E108">
        <v>21</v>
      </c>
      <c r="F108">
        <v>90</v>
      </c>
      <c r="G108">
        <v>94</v>
      </c>
      <c r="H108">
        <v>68</v>
      </c>
      <c r="I108">
        <v>-4</v>
      </c>
      <c r="J108">
        <v>393</v>
      </c>
      <c r="K108">
        <v>14.6</v>
      </c>
      <c r="L108">
        <v>288</v>
      </c>
    </row>
    <row r="109" spans="1:12">
      <c r="A109" t="s">
        <v>17</v>
      </c>
      <c r="B109" t="s">
        <v>1331</v>
      </c>
      <c r="C109" t="s">
        <v>1332</v>
      </c>
      <c r="D109">
        <v>28</v>
      </c>
      <c r="E109">
        <v>26</v>
      </c>
      <c r="F109">
        <v>100</v>
      </c>
      <c r="G109">
        <v>95</v>
      </c>
      <c r="H109">
        <v>46</v>
      </c>
      <c r="I109">
        <v>5</v>
      </c>
      <c r="J109">
        <v>150</v>
      </c>
      <c r="K109">
        <v>5.6</v>
      </c>
      <c r="L109">
        <v>1169</v>
      </c>
    </row>
    <row r="110" spans="1:12">
      <c r="A110" t="s">
        <v>608</v>
      </c>
      <c r="B110" t="s">
        <v>1333</v>
      </c>
      <c r="C110" t="s">
        <v>1334</v>
      </c>
      <c r="D110">
        <v>28</v>
      </c>
      <c r="E110">
        <v>23</v>
      </c>
      <c r="F110">
        <v>71</v>
      </c>
      <c r="G110">
        <v>97</v>
      </c>
      <c r="H110">
        <v>40</v>
      </c>
      <c r="I110">
        <v>-26</v>
      </c>
      <c r="J110">
        <v>595</v>
      </c>
      <c r="K110">
        <v>22</v>
      </c>
      <c r="L110">
        <v>25</v>
      </c>
    </row>
    <row r="111" spans="1:12">
      <c r="A111" t="s">
        <v>17</v>
      </c>
      <c r="B111" t="s">
        <v>1335</v>
      </c>
      <c r="C111" t="s">
        <v>1336</v>
      </c>
      <c r="D111">
        <v>28</v>
      </c>
      <c r="E111">
        <v>19</v>
      </c>
      <c r="F111">
        <v>14</v>
      </c>
      <c r="G111">
        <v>99</v>
      </c>
      <c r="H111">
        <v>14</v>
      </c>
      <c r="I111">
        <v>-85</v>
      </c>
      <c r="J111">
        <v>296</v>
      </c>
      <c r="K111">
        <v>11</v>
      </c>
      <c r="L111">
        <v>72</v>
      </c>
    </row>
    <row r="112" spans="1:12">
      <c r="A112" t="s">
        <v>17</v>
      </c>
      <c r="B112" t="s">
        <v>1337</v>
      </c>
      <c r="C112" t="s">
        <v>1338</v>
      </c>
      <c r="D112">
        <v>27</v>
      </c>
      <c r="E112">
        <v>23</v>
      </c>
      <c r="F112">
        <v>70</v>
      </c>
      <c r="G112">
        <v>96</v>
      </c>
      <c r="H112">
        <v>26</v>
      </c>
      <c r="I112">
        <v>-26</v>
      </c>
      <c r="J112">
        <v>617</v>
      </c>
      <c r="K112">
        <v>23.7</v>
      </c>
      <c r="L112">
        <v>26</v>
      </c>
    </row>
    <row r="113" spans="1:12">
      <c r="A113" t="s">
        <v>608</v>
      </c>
      <c r="B113" t="s">
        <v>827</v>
      </c>
      <c r="C113" t="s">
        <v>830</v>
      </c>
      <c r="D113">
        <v>27</v>
      </c>
      <c r="E113">
        <v>21</v>
      </c>
      <c r="F113">
        <v>99</v>
      </c>
      <c r="G113">
        <v>38</v>
      </c>
      <c r="H113">
        <v>24</v>
      </c>
      <c r="I113">
        <v>61</v>
      </c>
      <c r="J113">
        <v>1356</v>
      </c>
      <c r="K113">
        <v>52.2</v>
      </c>
      <c r="L113">
        <v>27</v>
      </c>
    </row>
    <row r="114" spans="1:12">
      <c r="A114" t="s">
        <v>608</v>
      </c>
      <c r="B114" t="s">
        <v>1339</v>
      </c>
      <c r="C114" t="s">
        <v>1340</v>
      </c>
      <c r="D114">
        <v>27</v>
      </c>
      <c r="E114">
        <v>19</v>
      </c>
      <c r="F114">
        <v>13</v>
      </c>
      <c r="G114">
        <v>92</v>
      </c>
      <c r="H114">
        <v>13</v>
      </c>
      <c r="I114">
        <v>-79</v>
      </c>
      <c r="J114">
        <v>997</v>
      </c>
      <c r="K114">
        <v>38.299999999999997</v>
      </c>
      <c r="L114">
        <v>131</v>
      </c>
    </row>
    <row r="115" spans="1:12">
      <c r="A115" t="s">
        <v>608</v>
      </c>
      <c r="B115" t="s">
        <v>673</v>
      </c>
      <c r="C115" t="s">
        <v>677</v>
      </c>
      <c r="D115">
        <v>27</v>
      </c>
      <c r="E115">
        <v>21</v>
      </c>
      <c r="F115">
        <v>76</v>
      </c>
      <c r="G115">
        <v>12</v>
      </c>
      <c r="H115">
        <v>9</v>
      </c>
      <c r="I115">
        <v>64</v>
      </c>
      <c r="J115">
        <v>2477</v>
      </c>
      <c r="K115">
        <v>95.3</v>
      </c>
      <c r="L115">
        <v>29</v>
      </c>
    </row>
    <row r="116" spans="1:12">
      <c r="A116" t="s">
        <v>608</v>
      </c>
      <c r="B116" t="s">
        <v>1341</v>
      </c>
      <c r="C116" t="s">
        <v>1342</v>
      </c>
      <c r="D116">
        <v>27</v>
      </c>
      <c r="E116">
        <v>19</v>
      </c>
      <c r="F116">
        <v>74</v>
      </c>
      <c r="G116">
        <v>98</v>
      </c>
      <c r="H116">
        <v>72</v>
      </c>
      <c r="I116">
        <v>-24</v>
      </c>
      <c r="J116">
        <v>489</v>
      </c>
      <c r="K116">
        <v>18.8</v>
      </c>
      <c r="L116">
        <v>143</v>
      </c>
    </row>
    <row r="117" spans="1:12">
      <c r="A117" t="s">
        <v>608</v>
      </c>
      <c r="B117" t="s">
        <v>850</v>
      </c>
      <c r="C117" t="s">
        <v>854</v>
      </c>
      <c r="D117">
        <v>27</v>
      </c>
      <c r="E117">
        <v>21</v>
      </c>
      <c r="F117">
        <v>71</v>
      </c>
      <c r="G117">
        <v>42</v>
      </c>
      <c r="H117">
        <v>26</v>
      </c>
      <c r="I117">
        <v>29</v>
      </c>
      <c r="J117">
        <v>1041</v>
      </c>
      <c r="K117">
        <v>40</v>
      </c>
      <c r="L117">
        <v>30</v>
      </c>
    </row>
    <row r="118" spans="1:12">
      <c r="A118" t="s">
        <v>17</v>
      </c>
      <c r="B118" t="s">
        <v>1343</v>
      </c>
      <c r="C118" t="s">
        <v>1344</v>
      </c>
      <c r="D118">
        <v>27</v>
      </c>
      <c r="E118">
        <v>23</v>
      </c>
      <c r="F118">
        <v>44</v>
      </c>
      <c r="G118">
        <v>98</v>
      </c>
      <c r="H118">
        <v>44</v>
      </c>
      <c r="I118">
        <v>-54</v>
      </c>
      <c r="J118">
        <v>449</v>
      </c>
      <c r="K118">
        <v>17.3</v>
      </c>
      <c r="L118">
        <v>103</v>
      </c>
    </row>
    <row r="119" spans="1:12">
      <c r="A119" t="s">
        <v>17</v>
      </c>
      <c r="B119" t="s">
        <v>520</v>
      </c>
      <c r="C119" t="s">
        <v>524</v>
      </c>
      <c r="D119">
        <v>26</v>
      </c>
      <c r="E119">
        <v>24</v>
      </c>
      <c r="F119">
        <v>94</v>
      </c>
      <c r="G119">
        <v>86</v>
      </c>
      <c r="H119">
        <v>15</v>
      </c>
      <c r="I119">
        <v>8</v>
      </c>
      <c r="J119">
        <v>822</v>
      </c>
      <c r="K119">
        <v>32.9</v>
      </c>
      <c r="L119">
        <v>14</v>
      </c>
    </row>
    <row r="120" spans="1:12">
      <c r="A120" t="s">
        <v>17</v>
      </c>
      <c r="B120" t="s">
        <v>1345</v>
      </c>
      <c r="C120" t="s">
        <v>1346</v>
      </c>
      <c r="D120">
        <v>26</v>
      </c>
      <c r="E120">
        <v>22</v>
      </c>
      <c r="F120">
        <v>58</v>
      </c>
      <c r="G120">
        <v>97</v>
      </c>
      <c r="H120">
        <v>37</v>
      </c>
      <c r="I120">
        <v>-39</v>
      </c>
      <c r="J120">
        <v>478</v>
      </c>
      <c r="K120">
        <v>19.100000000000001</v>
      </c>
      <c r="L120">
        <v>30</v>
      </c>
    </row>
    <row r="121" spans="1:12">
      <c r="A121" t="s">
        <v>17</v>
      </c>
      <c r="B121" t="s">
        <v>566</v>
      </c>
      <c r="C121" t="s">
        <v>570</v>
      </c>
      <c r="D121">
        <v>26</v>
      </c>
      <c r="E121">
        <v>24</v>
      </c>
      <c r="F121">
        <v>97</v>
      </c>
      <c r="G121">
        <v>94</v>
      </c>
      <c r="H121">
        <v>34</v>
      </c>
      <c r="I121">
        <v>3</v>
      </c>
      <c r="J121">
        <v>280</v>
      </c>
      <c r="K121">
        <v>11.2</v>
      </c>
      <c r="L121">
        <v>33</v>
      </c>
    </row>
    <row r="122" spans="1:12">
      <c r="A122" t="s">
        <v>608</v>
      </c>
      <c r="B122" t="s">
        <v>1154</v>
      </c>
      <c r="C122" t="s">
        <v>1158</v>
      </c>
      <c r="D122">
        <v>26</v>
      </c>
      <c r="E122">
        <v>18</v>
      </c>
      <c r="F122">
        <v>78</v>
      </c>
      <c r="G122">
        <v>95</v>
      </c>
      <c r="H122">
        <v>31</v>
      </c>
      <c r="I122">
        <v>-17</v>
      </c>
      <c r="J122">
        <v>769</v>
      </c>
      <c r="K122">
        <v>30.8</v>
      </c>
      <c r="L122">
        <v>24</v>
      </c>
    </row>
    <row r="123" spans="1:12">
      <c r="A123" t="s">
        <v>17</v>
      </c>
      <c r="B123" t="s">
        <v>87</v>
      </c>
      <c r="C123" t="s">
        <v>91</v>
      </c>
      <c r="D123">
        <v>26</v>
      </c>
      <c r="E123">
        <v>24</v>
      </c>
      <c r="F123">
        <v>79</v>
      </c>
      <c r="G123">
        <v>12</v>
      </c>
      <c r="H123">
        <v>7</v>
      </c>
      <c r="I123">
        <v>67</v>
      </c>
      <c r="J123">
        <v>1479</v>
      </c>
      <c r="K123">
        <v>59.2</v>
      </c>
      <c r="L123">
        <v>27</v>
      </c>
    </row>
    <row r="124" spans="1:12">
      <c r="A124" t="s">
        <v>608</v>
      </c>
      <c r="B124" t="s">
        <v>1347</v>
      </c>
      <c r="C124" t="s">
        <v>1348</v>
      </c>
      <c r="D124">
        <v>26</v>
      </c>
      <c r="E124">
        <v>18</v>
      </c>
      <c r="F124">
        <v>23</v>
      </c>
      <c r="G124">
        <v>79</v>
      </c>
      <c r="H124">
        <v>16</v>
      </c>
      <c r="I124">
        <v>-56</v>
      </c>
      <c r="J124">
        <v>1584</v>
      </c>
      <c r="K124">
        <v>63.4</v>
      </c>
      <c r="L124">
        <v>39</v>
      </c>
    </row>
    <row r="125" spans="1:12">
      <c r="A125" t="s">
        <v>608</v>
      </c>
      <c r="B125" t="s">
        <v>733</v>
      </c>
      <c r="C125" t="s">
        <v>736</v>
      </c>
      <c r="D125">
        <v>26</v>
      </c>
      <c r="E125">
        <v>20</v>
      </c>
      <c r="F125">
        <v>31</v>
      </c>
      <c r="G125">
        <v>22</v>
      </c>
      <c r="H125">
        <v>6</v>
      </c>
      <c r="I125">
        <v>9</v>
      </c>
      <c r="J125">
        <v>2320</v>
      </c>
      <c r="K125">
        <v>92.8</v>
      </c>
      <c r="L125">
        <v>27</v>
      </c>
    </row>
    <row r="126" spans="1:12">
      <c r="A126" t="s">
        <v>17</v>
      </c>
      <c r="B126" t="s">
        <v>1349</v>
      </c>
      <c r="C126" t="s">
        <v>1350</v>
      </c>
      <c r="D126">
        <v>26</v>
      </c>
      <c r="E126">
        <v>22</v>
      </c>
      <c r="F126">
        <v>25</v>
      </c>
      <c r="G126">
        <v>100</v>
      </c>
      <c r="H126">
        <v>25</v>
      </c>
      <c r="I126">
        <v>-75</v>
      </c>
      <c r="J126">
        <v>636</v>
      </c>
      <c r="K126">
        <v>25.4</v>
      </c>
      <c r="L126">
        <v>84</v>
      </c>
    </row>
    <row r="127" spans="1:12">
      <c r="A127" t="s">
        <v>17</v>
      </c>
      <c r="B127" t="s">
        <v>1351</v>
      </c>
      <c r="C127" t="s">
        <v>1352</v>
      </c>
      <c r="D127">
        <v>25</v>
      </c>
      <c r="E127">
        <v>21</v>
      </c>
      <c r="F127">
        <v>22</v>
      </c>
      <c r="G127">
        <v>98</v>
      </c>
      <c r="H127">
        <v>18</v>
      </c>
      <c r="I127">
        <v>-76</v>
      </c>
      <c r="J127">
        <v>163</v>
      </c>
      <c r="K127">
        <v>6.8</v>
      </c>
      <c r="L127">
        <v>35</v>
      </c>
    </row>
    <row r="128" spans="1:12">
      <c r="A128" t="s">
        <v>608</v>
      </c>
      <c r="B128" t="s">
        <v>896</v>
      </c>
      <c r="C128" t="s">
        <v>900</v>
      </c>
      <c r="D128">
        <v>25</v>
      </c>
      <c r="E128">
        <v>19</v>
      </c>
      <c r="F128">
        <v>91</v>
      </c>
      <c r="G128">
        <v>50</v>
      </c>
      <c r="H128">
        <v>50</v>
      </c>
      <c r="I128">
        <v>41</v>
      </c>
      <c r="J128">
        <v>539</v>
      </c>
      <c r="K128">
        <v>22.5</v>
      </c>
      <c r="L128">
        <v>31</v>
      </c>
    </row>
    <row r="129" spans="1:12">
      <c r="A129" t="s">
        <v>608</v>
      </c>
      <c r="B129" t="s">
        <v>977</v>
      </c>
      <c r="C129" t="s">
        <v>981</v>
      </c>
      <c r="D129">
        <v>25</v>
      </c>
      <c r="E129">
        <v>17</v>
      </c>
      <c r="F129">
        <v>79</v>
      </c>
      <c r="G129">
        <v>64</v>
      </c>
      <c r="H129">
        <v>59</v>
      </c>
      <c r="I129">
        <v>15</v>
      </c>
      <c r="J129">
        <v>598</v>
      </c>
      <c r="K129">
        <v>24.9</v>
      </c>
      <c r="L129">
        <v>28</v>
      </c>
    </row>
    <row r="130" spans="1:12">
      <c r="A130" t="s">
        <v>17</v>
      </c>
      <c r="B130" t="s">
        <v>1353</v>
      </c>
      <c r="C130" t="s">
        <v>1354</v>
      </c>
      <c r="D130">
        <v>25</v>
      </c>
      <c r="E130">
        <v>21</v>
      </c>
      <c r="F130">
        <v>28</v>
      </c>
      <c r="G130">
        <v>80</v>
      </c>
      <c r="H130">
        <v>28</v>
      </c>
      <c r="I130">
        <v>-52</v>
      </c>
      <c r="J130">
        <v>290</v>
      </c>
      <c r="K130">
        <v>12.1</v>
      </c>
      <c r="L130">
        <v>45</v>
      </c>
    </row>
    <row r="131" spans="1:12">
      <c r="A131" t="s">
        <v>608</v>
      </c>
      <c r="B131" t="s">
        <v>655</v>
      </c>
      <c r="C131" t="s">
        <v>659</v>
      </c>
      <c r="D131">
        <v>25</v>
      </c>
      <c r="E131">
        <v>19</v>
      </c>
      <c r="F131">
        <v>78</v>
      </c>
      <c r="G131">
        <v>9</v>
      </c>
      <c r="H131">
        <v>5</v>
      </c>
      <c r="I131">
        <v>69</v>
      </c>
      <c r="J131">
        <v>3438</v>
      </c>
      <c r="K131">
        <v>143.19999999999999</v>
      </c>
      <c r="L131">
        <v>26</v>
      </c>
    </row>
    <row r="132" spans="1:12">
      <c r="A132" t="s">
        <v>608</v>
      </c>
      <c r="B132" t="s">
        <v>632</v>
      </c>
      <c r="C132" t="s">
        <v>636</v>
      </c>
      <c r="D132">
        <v>25</v>
      </c>
      <c r="E132">
        <v>19</v>
      </c>
      <c r="F132">
        <v>55</v>
      </c>
      <c r="G132">
        <v>5</v>
      </c>
      <c r="H132">
        <v>2</v>
      </c>
      <c r="I132">
        <v>50</v>
      </c>
      <c r="J132">
        <v>6376</v>
      </c>
      <c r="K132">
        <v>265.7</v>
      </c>
      <c r="L132">
        <v>26</v>
      </c>
    </row>
    <row r="133" spans="1:12">
      <c r="A133" t="s">
        <v>17</v>
      </c>
      <c r="B133" t="s">
        <v>369</v>
      </c>
      <c r="C133" t="s">
        <v>373</v>
      </c>
      <c r="D133">
        <v>25</v>
      </c>
      <c r="E133">
        <v>23</v>
      </c>
      <c r="F133">
        <v>89</v>
      </c>
      <c r="G133">
        <v>60</v>
      </c>
      <c r="H133">
        <v>58</v>
      </c>
      <c r="I133">
        <v>29</v>
      </c>
      <c r="J133">
        <v>468</v>
      </c>
      <c r="K133">
        <v>19.5</v>
      </c>
      <c r="L133">
        <v>511</v>
      </c>
    </row>
    <row r="134" spans="1:12">
      <c r="A134" t="s">
        <v>608</v>
      </c>
      <c r="B134" t="s">
        <v>1355</v>
      </c>
      <c r="C134" t="s">
        <v>1356</v>
      </c>
      <c r="D134">
        <v>25</v>
      </c>
      <c r="E134">
        <v>20</v>
      </c>
      <c r="F134">
        <v>99</v>
      </c>
      <c r="G134">
        <v>99</v>
      </c>
      <c r="H134">
        <v>83</v>
      </c>
      <c r="I134">
        <v>0</v>
      </c>
      <c r="J134">
        <v>360</v>
      </c>
      <c r="K134">
        <v>15</v>
      </c>
      <c r="L134">
        <v>196</v>
      </c>
    </row>
    <row r="135" spans="1:12">
      <c r="A135" t="s">
        <v>608</v>
      </c>
      <c r="B135" t="s">
        <v>1357</v>
      </c>
      <c r="C135" t="s">
        <v>1358</v>
      </c>
      <c r="D135">
        <v>24</v>
      </c>
      <c r="E135">
        <v>9</v>
      </c>
      <c r="F135">
        <v>99</v>
      </c>
      <c r="G135">
        <v>97</v>
      </c>
      <c r="H135">
        <v>89</v>
      </c>
      <c r="I135">
        <v>2</v>
      </c>
      <c r="J135">
        <v>346</v>
      </c>
      <c r="K135">
        <v>15</v>
      </c>
      <c r="L135">
        <v>315</v>
      </c>
    </row>
    <row r="136" spans="1:12">
      <c r="A136" t="s">
        <v>608</v>
      </c>
      <c r="B136" t="s">
        <v>1359</v>
      </c>
      <c r="C136" t="s">
        <v>1360</v>
      </c>
      <c r="D136">
        <v>24</v>
      </c>
      <c r="E136">
        <v>10</v>
      </c>
      <c r="F136">
        <v>73</v>
      </c>
      <c r="G136">
        <v>94</v>
      </c>
      <c r="H136">
        <v>73</v>
      </c>
      <c r="I136">
        <v>-21</v>
      </c>
      <c r="J136">
        <v>197</v>
      </c>
      <c r="K136">
        <v>8.6</v>
      </c>
      <c r="L136">
        <v>618</v>
      </c>
    </row>
    <row r="137" spans="1:12">
      <c r="A137" t="s">
        <v>608</v>
      </c>
      <c r="B137" t="s">
        <v>965</v>
      </c>
      <c r="C137" t="s">
        <v>969</v>
      </c>
      <c r="D137">
        <v>24</v>
      </c>
      <c r="E137">
        <v>18</v>
      </c>
      <c r="F137">
        <v>93</v>
      </c>
      <c r="G137">
        <v>62</v>
      </c>
      <c r="H137">
        <v>54</v>
      </c>
      <c r="I137">
        <v>31</v>
      </c>
      <c r="J137">
        <v>639</v>
      </c>
      <c r="K137">
        <v>27.8</v>
      </c>
      <c r="L137">
        <v>28</v>
      </c>
    </row>
    <row r="138" spans="1:12">
      <c r="A138" t="s">
        <v>608</v>
      </c>
      <c r="B138" t="s">
        <v>738</v>
      </c>
      <c r="C138" t="s">
        <v>742</v>
      </c>
      <c r="D138">
        <v>24</v>
      </c>
      <c r="E138">
        <v>13</v>
      </c>
      <c r="F138">
        <v>66</v>
      </c>
      <c r="G138">
        <v>23</v>
      </c>
      <c r="H138">
        <v>16</v>
      </c>
      <c r="I138">
        <v>43</v>
      </c>
      <c r="J138">
        <v>1369</v>
      </c>
      <c r="K138">
        <v>59.5</v>
      </c>
      <c r="L138">
        <v>27</v>
      </c>
    </row>
    <row r="139" spans="1:12">
      <c r="A139" t="s">
        <v>608</v>
      </c>
      <c r="B139" t="s">
        <v>768</v>
      </c>
      <c r="C139" t="s">
        <v>772</v>
      </c>
      <c r="D139">
        <v>24</v>
      </c>
      <c r="E139">
        <v>18</v>
      </c>
      <c r="F139">
        <v>80</v>
      </c>
      <c r="G139">
        <v>28</v>
      </c>
      <c r="H139">
        <v>8</v>
      </c>
      <c r="I139">
        <v>52</v>
      </c>
      <c r="J139">
        <v>1680</v>
      </c>
      <c r="K139">
        <v>73</v>
      </c>
      <c r="L139">
        <v>27</v>
      </c>
    </row>
    <row r="140" spans="1:12">
      <c r="A140" t="s">
        <v>608</v>
      </c>
      <c r="B140" t="s">
        <v>627</v>
      </c>
      <c r="C140" t="s">
        <v>630</v>
      </c>
      <c r="D140">
        <v>24</v>
      </c>
      <c r="E140">
        <v>18</v>
      </c>
      <c r="F140">
        <v>44</v>
      </c>
      <c r="G140">
        <v>4</v>
      </c>
      <c r="H140">
        <v>1</v>
      </c>
      <c r="I140">
        <v>40</v>
      </c>
      <c r="J140">
        <v>11576</v>
      </c>
      <c r="K140">
        <v>503.3</v>
      </c>
      <c r="L140">
        <v>24</v>
      </c>
    </row>
    <row r="141" spans="1:12">
      <c r="A141" t="s">
        <v>17</v>
      </c>
      <c r="B141" t="s">
        <v>515</v>
      </c>
      <c r="C141" t="s">
        <v>518</v>
      </c>
      <c r="D141">
        <v>24</v>
      </c>
      <c r="E141">
        <v>17</v>
      </c>
      <c r="F141">
        <v>44</v>
      </c>
      <c r="G141">
        <v>85</v>
      </c>
      <c r="H141">
        <v>26</v>
      </c>
      <c r="I141">
        <v>-41</v>
      </c>
      <c r="J141">
        <v>417</v>
      </c>
      <c r="K141">
        <v>18.100000000000001</v>
      </c>
      <c r="L141">
        <v>23</v>
      </c>
    </row>
    <row r="142" spans="1:12">
      <c r="A142" t="s">
        <v>608</v>
      </c>
      <c r="B142" t="s">
        <v>944</v>
      </c>
      <c r="C142" t="s">
        <v>947</v>
      </c>
      <c r="D142">
        <v>24</v>
      </c>
      <c r="E142">
        <v>18</v>
      </c>
      <c r="F142">
        <v>70</v>
      </c>
      <c r="G142">
        <v>58</v>
      </c>
      <c r="H142">
        <v>28</v>
      </c>
      <c r="I142">
        <v>12</v>
      </c>
      <c r="J142">
        <v>614</v>
      </c>
      <c r="K142">
        <v>26.7</v>
      </c>
      <c r="L142">
        <v>20</v>
      </c>
    </row>
    <row r="143" spans="1:12">
      <c r="A143" t="s">
        <v>608</v>
      </c>
      <c r="B143" t="s">
        <v>1361</v>
      </c>
      <c r="C143" t="s">
        <v>1362</v>
      </c>
      <c r="D143">
        <v>24</v>
      </c>
      <c r="E143">
        <v>17</v>
      </c>
      <c r="F143">
        <v>20</v>
      </c>
      <c r="G143">
        <v>84</v>
      </c>
      <c r="H143">
        <v>20</v>
      </c>
      <c r="I143">
        <v>-64</v>
      </c>
      <c r="J143">
        <v>958</v>
      </c>
      <c r="K143">
        <v>41.7</v>
      </c>
      <c r="L143">
        <v>58</v>
      </c>
    </row>
    <row r="144" spans="1:12">
      <c r="A144" t="s">
        <v>608</v>
      </c>
      <c r="B144" t="s">
        <v>926</v>
      </c>
      <c r="C144" t="s">
        <v>930</v>
      </c>
      <c r="D144">
        <v>24</v>
      </c>
      <c r="E144">
        <v>18</v>
      </c>
      <c r="F144">
        <v>60</v>
      </c>
      <c r="G144">
        <v>55</v>
      </c>
      <c r="H144">
        <v>35</v>
      </c>
      <c r="I144">
        <v>5</v>
      </c>
      <c r="J144">
        <v>402</v>
      </c>
      <c r="K144">
        <v>17.5</v>
      </c>
      <c r="L144">
        <v>26</v>
      </c>
    </row>
    <row r="145" spans="1:12">
      <c r="A145" t="s">
        <v>17</v>
      </c>
      <c r="B145" t="s">
        <v>1363</v>
      </c>
      <c r="C145" t="s">
        <v>1364</v>
      </c>
      <c r="D145">
        <v>24</v>
      </c>
      <c r="E145">
        <v>13</v>
      </c>
      <c r="F145">
        <v>97</v>
      </c>
      <c r="G145">
        <v>99</v>
      </c>
      <c r="H145">
        <v>52</v>
      </c>
      <c r="I145">
        <v>-2</v>
      </c>
      <c r="J145">
        <v>201</v>
      </c>
      <c r="K145">
        <v>8.6999999999999993</v>
      </c>
      <c r="L145">
        <v>26</v>
      </c>
    </row>
    <row r="146" spans="1:12">
      <c r="A146" t="s">
        <v>17</v>
      </c>
      <c r="B146" t="s">
        <v>1365</v>
      </c>
      <c r="C146" t="s">
        <v>1366</v>
      </c>
      <c r="D146">
        <v>24</v>
      </c>
      <c r="E146">
        <v>20</v>
      </c>
      <c r="F146">
        <v>83</v>
      </c>
      <c r="G146">
        <v>95</v>
      </c>
      <c r="H146">
        <v>13</v>
      </c>
      <c r="I146">
        <v>-12</v>
      </c>
      <c r="J146">
        <v>558</v>
      </c>
      <c r="K146">
        <v>24.3</v>
      </c>
      <c r="L146">
        <v>17</v>
      </c>
    </row>
    <row r="147" spans="1:12">
      <c r="A147" t="s">
        <v>17</v>
      </c>
      <c r="B147" t="s">
        <v>240</v>
      </c>
      <c r="C147" t="s">
        <v>243</v>
      </c>
      <c r="D147">
        <v>23</v>
      </c>
      <c r="E147">
        <v>21</v>
      </c>
      <c r="F147">
        <v>34</v>
      </c>
      <c r="G147">
        <v>38</v>
      </c>
      <c r="H147">
        <v>6</v>
      </c>
      <c r="I147">
        <v>-4</v>
      </c>
      <c r="J147">
        <v>1451</v>
      </c>
      <c r="K147">
        <v>66</v>
      </c>
      <c r="L147">
        <v>22</v>
      </c>
    </row>
    <row r="148" spans="1:12">
      <c r="A148" t="s">
        <v>17</v>
      </c>
      <c r="B148" t="s">
        <v>26</v>
      </c>
      <c r="C148" t="s">
        <v>30</v>
      </c>
      <c r="D148">
        <v>23</v>
      </c>
      <c r="E148">
        <v>21</v>
      </c>
      <c r="F148">
        <v>59</v>
      </c>
      <c r="G148">
        <v>2</v>
      </c>
      <c r="H148">
        <v>2</v>
      </c>
      <c r="I148">
        <v>57</v>
      </c>
      <c r="J148">
        <v>4473</v>
      </c>
      <c r="K148">
        <v>203.3</v>
      </c>
      <c r="L148">
        <v>27</v>
      </c>
    </row>
    <row r="149" spans="1:12">
      <c r="A149" t="s">
        <v>17</v>
      </c>
      <c r="B149" t="s">
        <v>1367</v>
      </c>
      <c r="C149" t="s">
        <v>1368</v>
      </c>
      <c r="D149">
        <v>23</v>
      </c>
      <c r="E149">
        <v>19</v>
      </c>
      <c r="F149">
        <v>10</v>
      </c>
      <c r="G149">
        <v>98</v>
      </c>
      <c r="H149">
        <v>10</v>
      </c>
      <c r="I149">
        <v>-88</v>
      </c>
      <c r="J149">
        <v>597</v>
      </c>
      <c r="K149">
        <v>27.1</v>
      </c>
      <c r="L149">
        <v>61</v>
      </c>
    </row>
    <row r="150" spans="1:12">
      <c r="A150" t="s">
        <v>17</v>
      </c>
      <c r="B150" t="s">
        <v>1369</v>
      </c>
      <c r="C150" t="s">
        <v>1370</v>
      </c>
      <c r="D150">
        <v>23</v>
      </c>
      <c r="E150">
        <v>19</v>
      </c>
      <c r="F150">
        <v>13</v>
      </c>
      <c r="G150">
        <v>96</v>
      </c>
      <c r="H150">
        <v>13</v>
      </c>
      <c r="I150">
        <v>-83</v>
      </c>
      <c r="J150">
        <v>487</v>
      </c>
      <c r="K150">
        <v>22.1</v>
      </c>
      <c r="L150">
        <v>68</v>
      </c>
    </row>
    <row r="151" spans="1:12">
      <c r="A151" t="s">
        <v>608</v>
      </c>
      <c r="B151" t="s">
        <v>1371</v>
      </c>
      <c r="C151" t="s">
        <v>1372</v>
      </c>
      <c r="D151">
        <v>23</v>
      </c>
      <c r="E151">
        <v>11</v>
      </c>
      <c r="F151">
        <v>98</v>
      </c>
      <c r="G151">
        <v>99</v>
      </c>
      <c r="H151">
        <v>75</v>
      </c>
      <c r="I151">
        <v>-1</v>
      </c>
      <c r="J151">
        <v>445</v>
      </c>
      <c r="K151">
        <v>20.2</v>
      </c>
      <c r="L151">
        <v>167</v>
      </c>
    </row>
    <row r="152" spans="1:12">
      <c r="A152" t="s">
        <v>17</v>
      </c>
      <c r="B152" t="s">
        <v>1197</v>
      </c>
      <c r="C152" t="s">
        <v>1200</v>
      </c>
      <c r="D152">
        <v>23</v>
      </c>
      <c r="E152">
        <v>19</v>
      </c>
      <c r="F152">
        <v>96</v>
      </c>
      <c r="G152">
        <v>88</v>
      </c>
      <c r="H152">
        <v>77</v>
      </c>
      <c r="I152">
        <v>8</v>
      </c>
      <c r="J152">
        <v>226</v>
      </c>
      <c r="K152">
        <v>10.3</v>
      </c>
      <c r="L152">
        <v>337</v>
      </c>
    </row>
    <row r="153" spans="1:12">
      <c r="A153" t="s">
        <v>608</v>
      </c>
      <c r="B153" t="s">
        <v>798</v>
      </c>
      <c r="C153" t="s">
        <v>802</v>
      </c>
      <c r="D153">
        <v>22</v>
      </c>
      <c r="E153">
        <v>17</v>
      </c>
      <c r="F153">
        <v>62</v>
      </c>
      <c r="G153">
        <v>33</v>
      </c>
      <c r="H153">
        <v>25</v>
      </c>
      <c r="I153">
        <v>29</v>
      </c>
      <c r="J153">
        <v>1356</v>
      </c>
      <c r="K153">
        <v>64.599999999999994</v>
      </c>
      <c r="L153">
        <v>26</v>
      </c>
    </row>
    <row r="154" spans="1:12">
      <c r="A154" t="s">
        <v>17</v>
      </c>
      <c r="B154" t="s">
        <v>1373</v>
      </c>
      <c r="C154" t="s">
        <v>1374</v>
      </c>
      <c r="D154">
        <v>22</v>
      </c>
      <c r="E154">
        <v>18</v>
      </c>
      <c r="F154">
        <v>32</v>
      </c>
      <c r="G154">
        <v>87</v>
      </c>
      <c r="H154">
        <v>21</v>
      </c>
      <c r="I154">
        <v>-55</v>
      </c>
      <c r="J154">
        <v>232</v>
      </c>
      <c r="K154">
        <v>11</v>
      </c>
      <c r="L154">
        <v>29</v>
      </c>
    </row>
    <row r="155" spans="1:12">
      <c r="A155" t="s">
        <v>608</v>
      </c>
      <c r="B155" t="s">
        <v>1375</v>
      </c>
      <c r="C155" t="s">
        <v>1376</v>
      </c>
      <c r="D155">
        <v>22</v>
      </c>
      <c r="E155">
        <v>16</v>
      </c>
      <c r="F155">
        <v>51</v>
      </c>
      <c r="G155">
        <v>97</v>
      </c>
      <c r="H155">
        <v>30</v>
      </c>
      <c r="I155">
        <v>-46</v>
      </c>
      <c r="J155">
        <v>515</v>
      </c>
      <c r="K155">
        <v>24.5</v>
      </c>
      <c r="L155">
        <v>21</v>
      </c>
    </row>
    <row r="156" spans="1:12">
      <c r="A156" t="s">
        <v>17</v>
      </c>
      <c r="B156" t="s">
        <v>1377</v>
      </c>
      <c r="C156" t="s">
        <v>1378</v>
      </c>
      <c r="D156">
        <v>22</v>
      </c>
      <c r="E156">
        <v>21</v>
      </c>
      <c r="F156">
        <v>72</v>
      </c>
      <c r="G156">
        <v>96</v>
      </c>
      <c r="H156">
        <v>70</v>
      </c>
      <c r="I156">
        <v>-24</v>
      </c>
      <c r="J156">
        <v>331</v>
      </c>
      <c r="K156">
        <v>15.8</v>
      </c>
      <c r="L156">
        <v>50</v>
      </c>
    </row>
    <row r="157" spans="1:12">
      <c r="A157" t="s">
        <v>608</v>
      </c>
      <c r="B157" t="s">
        <v>609</v>
      </c>
      <c r="C157" t="s">
        <v>613</v>
      </c>
      <c r="D157">
        <v>22</v>
      </c>
      <c r="E157">
        <v>17</v>
      </c>
      <c r="F157">
        <v>53</v>
      </c>
      <c r="G157">
        <v>1</v>
      </c>
      <c r="H157">
        <v>1</v>
      </c>
      <c r="I157">
        <v>52</v>
      </c>
      <c r="J157">
        <v>6337</v>
      </c>
      <c r="K157">
        <v>301.8</v>
      </c>
      <c r="L157">
        <v>23</v>
      </c>
    </row>
    <row r="158" spans="1:12">
      <c r="A158" t="s">
        <v>17</v>
      </c>
      <c r="B158" t="s">
        <v>1379</v>
      </c>
      <c r="C158" t="s">
        <v>1380</v>
      </c>
      <c r="D158">
        <v>22</v>
      </c>
      <c r="E158">
        <v>18</v>
      </c>
      <c r="F158">
        <v>40</v>
      </c>
      <c r="G158">
        <v>82</v>
      </c>
      <c r="H158">
        <v>33</v>
      </c>
      <c r="I158">
        <v>-42</v>
      </c>
      <c r="J158">
        <v>403</v>
      </c>
      <c r="K158">
        <v>19.2</v>
      </c>
      <c r="L158">
        <v>26</v>
      </c>
    </row>
    <row r="159" spans="1:12">
      <c r="A159" t="s">
        <v>608</v>
      </c>
      <c r="B159" t="s">
        <v>1381</v>
      </c>
      <c r="C159" t="s">
        <v>1382</v>
      </c>
      <c r="D159">
        <v>22</v>
      </c>
      <c r="E159">
        <v>16</v>
      </c>
      <c r="F159">
        <v>42</v>
      </c>
      <c r="G159">
        <v>96</v>
      </c>
      <c r="H159">
        <v>29</v>
      </c>
      <c r="I159">
        <v>-54</v>
      </c>
      <c r="J159">
        <v>446</v>
      </c>
      <c r="K159">
        <v>21.2</v>
      </c>
      <c r="L159">
        <v>27</v>
      </c>
    </row>
    <row r="160" spans="1:12">
      <c r="A160" t="s">
        <v>608</v>
      </c>
      <c r="B160" t="s">
        <v>1383</v>
      </c>
      <c r="C160" t="s">
        <v>1384</v>
      </c>
      <c r="D160">
        <v>22</v>
      </c>
      <c r="E160">
        <v>16</v>
      </c>
      <c r="F160">
        <v>18</v>
      </c>
      <c r="G160">
        <v>76</v>
      </c>
      <c r="H160">
        <v>18</v>
      </c>
      <c r="I160">
        <v>-58</v>
      </c>
      <c r="J160">
        <v>924</v>
      </c>
      <c r="K160">
        <v>44</v>
      </c>
      <c r="L160">
        <v>22</v>
      </c>
    </row>
    <row r="161" spans="1:12">
      <c r="A161" t="s">
        <v>608</v>
      </c>
      <c r="B161" t="s">
        <v>703</v>
      </c>
      <c r="C161" t="s">
        <v>707</v>
      </c>
      <c r="D161">
        <v>22</v>
      </c>
      <c r="E161">
        <v>17</v>
      </c>
      <c r="F161">
        <v>68</v>
      </c>
      <c r="G161">
        <v>17</v>
      </c>
      <c r="H161">
        <v>13</v>
      </c>
      <c r="I161">
        <v>51</v>
      </c>
      <c r="J161">
        <v>1560</v>
      </c>
      <c r="K161">
        <v>74.3</v>
      </c>
      <c r="L161">
        <v>24</v>
      </c>
    </row>
    <row r="162" spans="1:12">
      <c r="A162" t="s">
        <v>608</v>
      </c>
      <c r="B162" t="s">
        <v>1385</v>
      </c>
      <c r="C162" t="s">
        <v>1386</v>
      </c>
      <c r="D162">
        <v>22</v>
      </c>
      <c r="E162">
        <v>18</v>
      </c>
      <c r="F162">
        <v>79</v>
      </c>
      <c r="G162">
        <v>96</v>
      </c>
      <c r="H162">
        <v>57</v>
      </c>
      <c r="I162">
        <v>-17</v>
      </c>
      <c r="J162">
        <v>359</v>
      </c>
      <c r="K162">
        <v>17.100000000000001</v>
      </c>
      <c r="L162">
        <v>20</v>
      </c>
    </row>
    <row r="163" spans="1:12">
      <c r="A163" t="s">
        <v>608</v>
      </c>
      <c r="B163" t="s">
        <v>1387</v>
      </c>
      <c r="C163" t="s">
        <v>1388</v>
      </c>
      <c r="D163">
        <v>22</v>
      </c>
      <c r="E163">
        <v>17</v>
      </c>
      <c r="F163">
        <v>93</v>
      </c>
      <c r="G163">
        <v>87</v>
      </c>
      <c r="H163">
        <v>41</v>
      </c>
      <c r="I163">
        <v>6</v>
      </c>
      <c r="J163">
        <v>973</v>
      </c>
      <c r="K163">
        <v>46.3</v>
      </c>
      <c r="L163">
        <v>101</v>
      </c>
    </row>
    <row r="164" spans="1:12">
      <c r="A164" t="s">
        <v>17</v>
      </c>
      <c r="B164" t="s">
        <v>1389</v>
      </c>
      <c r="C164" t="s">
        <v>1390</v>
      </c>
      <c r="D164">
        <v>22</v>
      </c>
      <c r="E164">
        <v>21</v>
      </c>
      <c r="F164">
        <v>99</v>
      </c>
      <c r="G164">
        <v>95</v>
      </c>
      <c r="H164">
        <v>48</v>
      </c>
      <c r="I164">
        <v>4</v>
      </c>
      <c r="J164">
        <v>281</v>
      </c>
      <c r="K164">
        <v>13.4</v>
      </c>
      <c r="L164">
        <v>27</v>
      </c>
    </row>
    <row r="165" spans="1:12">
      <c r="A165" t="s">
        <v>17</v>
      </c>
      <c r="B165" t="s">
        <v>468</v>
      </c>
      <c r="C165" t="s">
        <v>472</v>
      </c>
      <c r="D165">
        <v>22</v>
      </c>
      <c r="E165">
        <v>20</v>
      </c>
      <c r="F165">
        <v>89</v>
      </c>
      <c r="G165">
        <v>77</v>
      </c>
      <c r="H165">
        <v>55</v>
      </c>
      <c r="I165">
        <v>12</v>
      </c>
      <c r="J165">
        <v>399</v>
      </c>
      <c r="K165">
        <v>19</v>
      </c>
      <c r="L165">
        <v>337</v>
      </c>
    </row>
    <row r="166" spans="1:12">
      <c r="A166" t="s">
        <v>17</v>
      </c>
      <c r="B166" t="s">
        <v>1391</v>
      </c>
      <c r="C166" t="s">
        <v>1392</v>
      </c>
      <c r="D166">
        <v>22</v>
      </c>
      <c r="E166">
        <v>17</v>
      </c>
      <c r="F166">
        <v>64</v>
      </c>
      <c r="G166">
        <v>85</v>
      </c>
      <c r="H166">
        <v>63</v>
      </c>
      <c r="I166">
        <v>-21</v>
      </c>
      <c r="J166">
        <v>140</v>
      </c>
      <c r="K166">
        <v>6.7</v>
      </c>
      <c r="L166">
        <v>54</v>
      </c>
    </row>
    <row r="167" spans="1:12">
      <c r="A167" t="s">
        <v>17</v>
      </c>
      <c r="B167" t="s">
        <v>51</v>
      </c>
      <c r="C167" t="s">
        <v>55</v>
      </c>
      <c r="D167">
        <v>21</v>
      </c>
      <c r="E167">
        <v>19</v>
      </c>
      <c r="F167">
        <v>78</v>
      </c>
      <c r="G167">
        <v>6</v>
      </c>
      <c r="H167">
        <v>4</v>
      </c>
      <c r="I167">
        <v>72</v>
      </c>
      <c r="J167">
        <v>2071</v>
      </c>
      <c r="K167">
        <v>103.6</v>
      </c>
      <c r="L167">
        <v>60</v>
      </c>
    </row>
    <row r="168" spans="1:12">
      <c r="A168" t="s">
        <v>608</v>
      </c>
      <c r="B168" t="s">
        <v>1393</v>
      </c>
      <c r="C168" t="s">
        <v>1394</v>
      </c>
      <c r="D168">
        <v>21</v>
      </c>
      <c r="E168">
        <v>15</v>
      </c>
      <c r="F168">
        <v>36</v>
      </c>
      <c r="G168">
        <v>100</v>
      </c>
      <c r="H168">
        <v>36</v>
      </c>
      <c r="I168">
        <v>-64</v>
      </c>
      <c r="J168">
        <v>205</v>
      </c>
      <c r="K168">
        <v>10.199999999999999</v>
      </c>
      <c r="L168">
        <v>1050</v>
      </c>
    </row>
    <row r="169" spans="1:12">
      <c r="A169" t="s">
        <v>17</v>
      </c>
      <c r="B169" t="s">
        <v>1395</v>
      </c>
      <c r="C169" t="s">
        <v>1396</v>
      </c>
      <c r="D169">
        <v>21</v>
      </c>
      <c r="E169">
        <v>20</v>
      </c>
      <c r="F169">
        <v>92</v>
      </c>
      <c r="G169">
        <v>92</v>
      </c>
      <c r="H169">
        <v>60</v>
      </c>
      <c r="I169">
        <v>0</v>
      </c>
      <c r="J169">
        <v>299</v>
      </c>
      <c r="K169">
        <v>15</v>
      </c>
      <c r="L169">
        <v>178</v>
      </c>
    </row>
    <row r="170" spans="1:12">
      <c r="A170" t="s">
        <v>608</v>
      </c>
      <c r="B170" t="s">
        <v>1397</v>
      </c>
      <c r="C170" t="s">
        <v>1398</v>
      </c>
      <c r="D170">
        <v>21</v>
      </c>
      <c r="E170">
        <v>16</v>
      </c>
      <c r="F170">
        <v>82</v>
      </c>
      <c r="G170">
        <v>94</v>
      </c>
      <c r="H170">
        <v>10</v>
      </c>
      <c r="I170">
        <v>-12</v>
      </c>
      <c r="J170">
        <v>1102</v>
      </c>
      <c r="K170">
        <v>55.1</v>
      </c>
      <c r="L170">
        <v>20</v>
      </c>
    </row>
    <row r="171" spans="1:12">
      <c r="A171" t="s">
        <v>608</v>
      </c>
      <c r="B171" t="s">
        <v>1399</v>
      </c>
      <c r="C171" t="s">
        <v>1400</v>
      </c>
      <c r="D171">
        <v>21</v>
      </c>
      <c r="E171">
        <v>15</v>
      </c>
      <c r="F171">
        <v>9</v>
      </c>
      <c r="G171">
        <v>94</v>
      </c>
      <c r="H171">
        <v>9</v>
      </c>
      <c r="I171">
        <v>-85</v>
      </c>
      <c r="J171">
        <v>641</v>
      </c>
      <c r="K171">
        <v>32</v>
      </c>
      <c r="L171">
        <v>43</v>
      </c>
    </row>
    <row r="172" spans="1:12">
      <c r="A172" t="s">
        <v>17</v>
      </c>
      <c r="B172" t="s">
        <v>1401</v>
      </c>
      <c r="C172" t="s">
        <v>1402</v>
      </c>
      <c r="D172">
        <v>21</v>
      </c>
      <c r="E172">
        <v>14</v>
      </c>
      <c r="F172">
        <v>48</v>
      </c>
      <c r="G172">
        <v>89</v>
      </c>
      <c r="H172">
        <v>48</v>
      </c>
      <c r="I172">
        <v>-41</v>
      </c>
      <c r="J172">
        <v>89</v>
      </c>
      <c r="K172">
        <v>4.4000000000000004</v>
      </c>
      <c r="L172">
        <v>144</v>
      </c>
    </row>
    <row r="173" spans="1:12">
      <c r="A173" t="s">
        <v>608</v>
      </c>
      <c r="B173" t="s">
        <v>1403</v>
      </c>
      <c r="C173" t="s">
        <v>1404</v>
      </c>
      <c r="D173">
        <v>21</v>
      </c>
      <c r="E173">
        <v>15</v>
      </c>
      <c r="F173">
        <v>34</v>
      </c>
      <c r="G173">
        <v>91</v>
      </c>
      <c r="H173">
        <v>34</v>
      </c>
      <c r="I173">
        <v>-57</v>
      </c>
      <c r="J173">
        <v>420</v>
      </c>
      <c r="K173">
        <v>21</v>
      </c>
      <c r="L173">
        <v>63</v>
      </c>
    </row>
    <row r="174" spans="1:12">
      <c r="A174" t="s">
        <v>608</v>
      </c>
      <c r="B174" t="s">
        <v>1405</v>
      </c>
      <c r="C174" t="s">
        <v>1406</v>
      </c>
      <c r="D174">
        <v>21</v>
      </c>
      <c r="E174">
        <v>13</v>
      </c>
      <c r="F174">
        <v>24</v>
      </c>
      <c r="G174">
        <v>97</v>
      </c>
      <c r="H174">
        <v>24</v>
      </c>
      <c r="I174">
        <v>-73</v>
      </c>
      <c r="J174">
        <v>585</v>
      </c>
      <c r="K174">
        <v>29.2</v>
      </c>
      <c r="L174">
        <v>63</v>
      </c>
    </row>
    <row r="175" spans="1:12">
      <c r="A175" t="s">
        <v>17</v>
      </c>
      <c r="B175" t="s">
        <v>187</v>
      </c>
      <c r="C175" t="s">
        <v>191</v>
      </c>
      <c r="D175">
        <v>21</v>
      </c>
      <c r="E175">
        <v>19</v>
      </c>
      <c r="F175">
        <v>82</v>
      </c>
      <c r="G175">
        <v>29</v>
      </c>
      <c r="H175">
        <v>22</v>
      </c>
      <c r="I175">
        <v>53</v>
      </c>
      <c r="J175">
        <v>572</v>
      </c>
      <c r="K175">
        <v>28.6</v>
      </c>
      <c r="L175">
        <v>30</v>
      </c>
    </row>
    <row r="176" spans="1:12">
      <c r="A176" t="s">
        <v>17</v>
      </c>
      <c r="B176" t="s">
        <v>228</v>
      </c>
      <c r="C176" t="s">
        <v>232</v>
      </c>
      <c r="D176">
        <v>21</v>
      </c>
      <c r="E176">
        <v>19</v>
      </c>
      <c r="F176">
        <v>73</v>
      </c>
      <c r="G176">
        <v>36</v>
      </c>
      <c r="H176">
        <v>27</v>
      </c>
      <c r="I176">
        <v>37</v>
      </c>
      <c r="J176">
        <v>332</v>
      </c>
      <c r="K176">
        <v>16.600000000000001</v>
      </c>
      <c r="L176">
        <v>23</v>
      </c>
    </row>
    <row r="177" spans="1:12">
      <c r="A177" t="s">
        <v>17</v>
      </c>
      <c r="B177" t="s">
        <v>1407</v>
      </c>
      <c r="C177" t="s">
        <v>1408</v>
      </c>
      <c r="D177">
        <v>21</v>
      </c>
      <c r="E177">
        <v>17</v>
      </c>
      <c r="F177">
        <v>27</v>
      </c>
      <c r="G177">
        <v>99</v>
      </c>
      <c r="H177">
        <v>27</v>
      </c>
      <c r="I177">
        <v>-72</v>
      </c>
      <c r="J177">
        <v>322</v>
      </c>
      <c r="K177">
        <v>16.100000000000001</v>
      </c>
      <c r="L177">
        <v>66</v>
      </c>
    </row>
    <row r="178" spans="1:12">
      <c r="A178" t="s">
        <v>17</v>
      </c>
      <c r="B178" t="s">
        <v>1409</v>
      </c>
      <c r="C178" t="s">
        <v>1410</v>
      </c>
      <c r="D178">
        <v>21</v>
      </c>
      <c r="E178">
        <v>13</v>
      </c>
      <c r="F178">
        <v>54</v>
      </c>
      <c r="G178">
        <v>95</v>
      </c>
      <c r="H178">
        <v>54</v>
      </c>
      <c r="I178">
        <v>-41</v>
      </c>
      <c r="J178">
        <v>326</v>
      </c>
      <c r="K178">
        <v>16.3</v>
      </c>
      <c r="L178">
        <v>88</v>
      </c>
    </row>
    <row r="179" spans="1:12">
      <c r="A179" t="s">
        <v>17</v>
      </c>
      <c r="B179" t="s">
        <v>1411</v>
      </c>
      <c r="C179" t="s">
        <v>1412</v>
      </c>
      <c r="D179">
        <v>20</v>
      </c>
      <c r="E179">
        <v>16</v>
      </c>
      <c r="F179">
        <v>45</v>
      </c>
      <c r="G179">
        <v>98</v>
      </c>
      <c r="H179">
        <v>42</v>
      </c>
      <c r="I179">
        <v>-53</v>
      </c>
      <c r="J179">
        <v>232</v>
      </c>
      <c r="K179">
        <v>12.2</v>
      </c>
      <c r="L179">
        <v>32</v>
      </c>
    </row>
    <row r="180" spans="1:12">
      <c r="A180" t="s">
        <v>17</v>
      </c>
      <c r="B180" t="s">
        <v>392</v>
      </c>
      <c r="C180" t="s">
        <v>396</v>
      </c>
      <c r="D180">
        <v>20</v>
      </c>
      <c r="E180">
        <v>18</v>
      </c>
      <c r="F180">
        <v>76</v>
      </c>
      <c r="G180">
        <v>64</v>
      </c>
      <c r="H180">
        <v>26</v>
      </c>
      <c r="I180">
        <v>12</v>
      </c>
      <c r="J180">
        <v>434</v>
      </c>
      <c r="K180">
        <v>22.8</v>
      </c>
      <c r="L180">
        <v>132</v>
      </c>
    </row>
    <row r="181" spans="1:12">
      <c r="A181" t="s">
        <v>608</v>
      </c>
      <c r="B181" t="s">
        <v>880</v>
      </c>
      <c r="C181" t="s">
        <v>884</v>
      </c>
      <c r="D181">
        <v>20</v>
      </c>
      <c r="E181">
        <v>16</v>
      </c>
      <c r="F181">
        <v>61</v>
      </c>
      <c r="G181">
        <v>47</v>
      </c>
      <c r="H181">
        <v>34</v>
      </c>
      <c r="I181">
        <v>14</v>
      </c>
      <c r="J181">
        <v>593</v>
      </c>
      <c r="K181">
        <v>31.2</v>
      </c>
      <c r="L181">
        <v>25</v>
      </c>
    </row>
    <row r="182" spans="1:12">
      <c r="A182" t="s">
        <v>17</v>
      </c>
      <c r="B182" t="s">
        <v>32</v>
      </c>
      <c r="C182" t="s">
        <v>36</v>
      </c>
      <c r="D182">
        <v>20</v>
      </c>
      <c r="E182">
        <v>18</v>
      </c>
      <c r="F182">
        <v>65</v>
      </c>
      <c r="G182">
        <v>3</v>
      </c>
      <c r="H182">
        <v>3</v>
      </c>
      <c r="I182">
        <v>62</v>
      </c>
      <c r="J182">
        <v>2897</v>
      </c>
      <c r="K182">
        <v>152.5</v>
      </c>
      <c r="L182">
        <v>20</v>
      </c>
    </row>
    <row r="183" spans="1:12">
      <c r="A183" t="s">
        <v>608</v>
      </c>
      <c r="B183" t="s">
        <v>1413</v>
      </c>
      <c r="C183" t="s">
        <v>1414</v>
      </c>
      <c r="D183">
        <v>20</v>
      </c>
      <c r="E183">
        <v>8</v>
      </c>
      <c r="F183">
        <v>82</v>
      </c>
      <c r="G183">
        <v>97</v>
      </c>
      <c r="H183">
        <v>65</v>
      </c>
      <c r="I183">
        <v>-15</v>
      </c>
      <c r="J183">
        <v>439</v>
      </c>
      <c r="K183">
        <v>23.1</v>
      </c>
      <c r="L183">
        <v>24</v>
      </c>
    </row>
    <row r="184" spans="1:12">
      <c r="A184" t="s">
        <v>17</v>
      </c>
      <c r="B184" t="s">
        <v>1415</v>
      </c>
      <c r="C184" t="s">
        <v>1416</v>
      </c>
      <c r="D184">
        <v>20</v>
      </c>
      <c r="E184">
        <v>14</v>
      </c>
      <c r="F184">
        <v>98</v>
      </c>
      <c r="G184">
        <v>100</v>
      </c>
      <c r="H184">
        <v>76</v>
      </c>
      <c r="I184">
        <v>-2</v>
      </c>
      <c r="J184">
        <v>133</v>
      </c>
      <c r="K184">
        <v>7</v>
      </c>
      <c r="L184">
        <v>116</v>
      </c>
    </row>
    <row r="185" spans="1:12">
      <c r="A185" t="s">
        <v>608</v>
      </c>
      <c r="B185" t="s">
        <v>744</v>
      </c>
      <c r="C185" t="s">
        <v>748</v>
      </c>
      <c r="D185">
        <v>20</v>
      </c>
      <c r="E185">
        <v>16</v>
      </c>
      <c r="F185">
        <v>56</v>
      </c>
      <c r="G185">
        <v>24</v>
      </c>
      <c r="H185">
        <v>24</v>
      </c>
      <c r="I185">
        <v>32</v>
      </c>
      <c r="J185">
        <v>899</v>
      </c>
      <c r="K185">
        <v>47.3</v>
      </c>
      <c r="L185">
        <v>23</v>
      </c>
    </row>
    <row r="186" spans="1:12">
      <c r="A186" t="s">
        <v>17</v>
      </c>
      <c r="B186" t="s">
        <v>1417</v>
      </c>
      <c r="C186" t="s">
        <v>1418</v>
      </c>
      <c r="D186">
        <v>20</v>
      </c>
      <c r="E186">
        <v>16</v>
      </c>
      <c r="F186">
        <v>23</v>
      </c>
      <c r="G186">
        <v>81</v>
      </c>
      <c r="H186">
        <v>23</v>
      </c>
      <c r="I186">
        <v>-58</v>
      </c>
      <c r="J186">
        <v>164</v>
      </c>
      <c r="K186">
        <v>8.6</v>
      </c>
      <c r="L186">
        <v>406</v>
      </c>
    </row>
    <row r="187" spans="1:12">
      <c r="A187" t="s">
        <v>608</v>
      </c>
      <c r="B187" t="s">
        <v>832</v>
      </c>
      <c r="C187" t="s">
        <v>836</v>
      </c>
      <c r="D187">
        <v>20</v>
      </c>
      <c r="E187">
        <v>16</v>
      </c>
      <c r="F187">
        <v>93</v>
      </c>
      <c r="G187">
        <v>39</v>
      </c>
      <c r="H187">
        <v>39</v>
      </c>
      <c r="I187">
        <v>54</v>
      </c>
      <c r="J187">
        <v>508</v>
      </c>
      <c r="K187">
        <v>26.7</v>
      </c>
      <c r="L187">
        <v>32</v>
      </c>
    </row>
    <row r="188" spans="1:12">
      <c r="A188" t="s">
        <v>17</v>
      </c>
      <c r="B188" t="s">
        <v>134</v>
      </c>
      <c r="C188" t="s">
        <v>138</v>
      </c>
      <c r="D188">
        <v>20</v>
      </c>
      <c r="E188">
        <v>18</v>
      </c>
      <c r="F188">
        <v>75</v>
      </c>
      <c r="G188">
        <v>20</v>
      </c>
      <c r="H188">
        <v>16</v>
      </c>
      <c r="I188">
        <v>55</v>
      </c>
      <c r="J188">
        <v>645</v>
      </c>
      <c r="K188">
        <v>33.9</v>
      </c>
      <c r="L188">
        <v>21</v>
      </c>
    </row>
    <row r="189" spans="1:12">
      <c r="A189" t="s">
        <v>17</v>
      </c>
      <c r="B189" t="s">
        <v>69</v>
      </c>
      <c r="C189" t="s">
        <v>73</v>
      </c>
      <c r="D189">
        <v>20</v>
      </c>
      <c r="E189">
        <v>18</v>
      </c>
      <c r="F189">
        <v>82</v>
      </c>
      <c r="G189">
        <v>9</v>
      </c>
      <c r="H189">
        <v>9</v>
      </c>
      <c r="I189">
        <v>73</v>
      </c>
      <c r="J189">
        <v>1064</v>
      </c>
      <c r="K189">
        <v>56</v>
      </c>
      <c r="L189">
        <v>30</v>
      </c>
    </row>
    <row r="190" spans="1:12">
      <c r="A190" t="s">
        <v>608</v>
      </c>
      <c r="B190" t="s">
        <v>989</v>
      </c>
      <c r="C190" t="s">
        <v>993</v>
      </c>
      <c r="D190">
        <v>20</v>
      </c>
      <c r="E190">
        <v>16</v>
      </c>
      <c r="F190">
        <v>76</v>
      </c>
      <c r="G190">
        <v>66</v>
      </c>
      <c r="H190">
        <v>66</v>
      </c>
      <c r="I190">
        <v>10</v>
      </c>
      <c r="J190">
        <v>486</v>
      </c>
      <c r="K190">
        <v>25.6</v>
      </c>
      <c r="L190">
        <v>52</v>
      </c>
    </row>
    <row r="191" spans="1:12">
      <c r="A191" t="s">
        <v>608</v>
      </c>
      <c r="B191" t="s">
        <v>621</v>
      </c>
      <c r="C191" t="s">
        <v>625</v>
      </c>
      <c r="D191">
        <v>19</v>
      </c>
      <c r="E191">
        <v>15</v>
      </c>
      <c r="F191">
        <v>44</v>
      </c>
      <c r="G191">
        <v>3</v>
      </c>
      <c r="H191">
        <v>1</v>
      </c>
      <c r="I191">
        <v>41</v>
      </c>
      <c r="J191">
        <v>7166</v>
      </c>
      <c r="K191">
        <v>398.1</v>
      </c>
      <c r="L191">
        <v>27</v>
      </c>
    </row>
    <row r="192" spans="1:12">
      <c r="A192" t="s">
        <v>17</v>
      </c>
      <c r="B192" t="s">
        <v>334</v>
      </c>
      <c r="C192" t="s">
        <v>338</v>
      </c>
      <c r="D192">
        <v>19</v>
      </c>
      <c r="E192">
        <v>17</v>
      </c>
      <c r="F192">
        <v>86</v>
      </c>
      <c r="G192">
        <v>54</v>
      </c>
      <c r="H192">
        <v>40</v>
      </c>
      <c r="I192">
        <v>32</v>
      </c>
      <c r="J192">
        <v>221</v>
      </c>
      <c r="K192">
        <v>12.3</v>
      </c>
      <c r="L192">
        <v>22</v>
      </c>
    </row>
    <row r="193" spans="1:12">
      <c r="A193" t="s">
        <v>608</v>
      </c>
      <c r="B193" t="s">
        <v>1419</v>
      </c>
      <c r="C193" t="s">
        <v>1420</v>
      </c>
      <c r="D193">
        <v>19</v>
      </c>
      <c r="E193">
        <v>14</v>
      </c>
      <c r="F193">
        <v>21</v>
      </c>
      <c r="G193">
        <v>95</v>
      </c>
      <c r="H193">
        <v>13</v>
      </c>
      <c r="I193">
        <v>-74</v>
      </c>
      <c r="J193">
        <v>454</v>
      </c>
      <c r="K193">
        <v>25.2</v>
      </c>
      <c r="L193">
        <v>13</v>
      </c>
    </row>
    <row r="194" spans="1:12">
      <c r="A194" t="s">
        <v>17</v>
      </c>
      <c r="B194" t="s">
        <v>1421</v>
      </c>
      <c r="C194" t="s">
        <v>1422</v>
      </c>
      <c r="D194">
        <v>19</v>
      </c>
      <c r="E194">
        <v>15</v>
      </c>
      <c r="F194">
        <v>47</v>
      </c>
      <c r="G194">
        <v>85</v>
      </c>
      <c r="H194">
        <v>46</v>
      </c>
      <c r="I194">
        <v>-38</v>
      </c>
      <c r="J194">
        <v>305</v>
      </c>
      <c r="K194">
        <v>16.899999999999999</v>
      </c>
      <c r="L194">
        <v>88</v>
      </c>
    </row>
    <row r="195" spans="1:12">
      <c r="A195" t="s">
        <v>608</v>
      </c>
      <c r="B195" t="s">
        <v>1423</v>
      </c>
      <c r="C195" t="s">
        <v>1424</v>
      </c>
      <c r="D195">
        <v>19</v>
      </c>
      <c r="E195">
        <v>14</v>
      </c>
      <c r="F195">
        <v>19</v>
      </c>
      <c r="G195">
        <v>90</v>
      </c>
      <c r="H195">
        <v>19</v>
      </c>
      <c r="I195">
        <v>-71</v>
      </c>
      <c r="J195">
        <v>589</v>
      </c>
      <c r="K195">
        <v>32.700000000000003</v>
      </c>
      <c r="L195">
        <v>52</v>
      </c>
    </row>
    <row r="196" spans="1:12">
      <c r="A196" t="s">
        <v>17</v>
      </c>
      <c r="B196" t="s">
        <v>222</v>
      </c>
      <c r="C196" t="s">
        <v>226</v>
      </c>
      <c r="D196">
        <v>19</v>
      </c>
      <c r="E196">
        <v>17</v>
      </c>
      <c r="F196">
        <v>91</v>
      </c>
      <c r="G196">
        <v>35</v>
      </c>
      <c r="H196">
        <v>35</v>
      </c>
      <c r="I196">
        <v>56</v>
      </c>
      <c r="J196">
        <v>349</v>
      </c>
      <c r="K196">
        <v>19.399999999999999</v>
      </c>
      <c r="L196">
        <v>31</v>
      </c>
    </row>
    <row r="197" spans="1:12">
      <c r="A197" t="s">
        <v>17</v>
      </c>
      <c r="B197" t="s">
        <v>526</v>
      </c>
      <c r="C197" t="s">
        <v>530</v>
      </c>
      <c r="D197">
        <v>19</v>
      </c>
      <c r="E197">
        <v>17</v>
      </c>
      <c r="F197">
        <v>68</v>
      </c>
      <c r="G197">
        <v>87</v>
      </c>
      <c r="H197">
        <v>38</v>
      </c>
      <c r="I197">
        <v>-19</v>
      </c>
      <c r="J197">
        <v>181</v>
      </c>
      <c r="K197">
        <v>10.1</v>
      </c>
      <c r="L197">
        <v>19</v>
      </c>
    </row>
    <row r="198" spans="1:12">
      <c r="A198" t="s">
        <v>608</v>
      </c>
      <c r="B198" t="s">
        <v>1035</v>
      </c>
      <c r="C198" t="s">
        <v>1039</v>
      </c>
      <c r="D198">
        <v>19</v>
      </c>
      <c r="E198">
        <v>15</v>
      </c>
      <c r="F198">
        <v>89</v>
      </c>
      <c r="G198">
        <v>74</v>
      </c>
      <c r="H198">
        <v>67</v>
      </c>
      <c r="I198">
        <v>15</v>
      </c>
      <c r="J198">
        <v>304</v>
      </c>
      <c r="K198">
        <v>16.899999999999999</v>
      </c>
      <c r="L198">
        <v>24</v>
      </c>
    </row>
    <row r="199" spans="1:12">
      <c r="A199" t="s">
        <v>608</v>
      </c>
      <c r="B199" t="s">
        <v>1425</v>
      </c>
      <c r="C199" t="s">
        <v>1426</v>
      </c>
      <c r="D199">
        <v>19</v>
      </c>
      <c r="E199">
        <v>14</v>
      </c>
      <c r="F199">
        <v>97</v>
      </c>
      <c r="G199">
        <v>94</v>
      </c>
      <c r="H199">
        <v>66</v>
      </c>
      <c r="I199">
        <v>3</v>
      </c>
      <c r="J199">
        <v>252</v>
      </c>
      <c r="K199">
        <v>14</v>
      </c>
      <c r="L199">
        <v>26</v>
      </c>
    </row>
    <row r="200" spans="1:12">
      <c r="A200" t="s">
        <v>17</v>
      </c>
      <c r="B200" t="s">
        <v>421</v>
      </c>
      <c r="C200" t="s">
        <v>425</v>
      </c>
      <c r="D200">
        <v>19</v>
      </c>
      <c r="E200">
        <v>17</v>
      </c>
      <c r="F200">
        <v>84</v>
      </c>
      <c r="G200">
        <v>69</v>
      </c>
      <c r="H200">
        <v>49</v>
      </c>
      <c r="I200">
        <v>15</v>
      </c>
      <c r="J200">
        <v>189</v>
      </c>
      <c r="K200">
        <v>10.5</v>
      </c>
      <c r="L200">
        <v>24</v>
      </c>
    </row>
    <row r="201" spans="1:12">
      <c r="A201" t="s">
        <v>608</v>
      </c>
      <c r="B201" t="s">
        <v>1427</v>
      </c>
      <c r="C201" t="s">
        <v>1428</v>
      </c>
      <c r="D201">
        <v>19</v>
      </c>
      <c r="E201">
        <v>13</v>
      </c>
      <c r="F201">
        <v>80</v>
      </c>
      <c r="G201">
        <v>94</v>
      </c>
      <c r="H201">
        <v>57</v>
      </c>
      <c r="I201">
        <v>-14</v>
      </c>
      <c r="J201">
        <v>489</v>
      </c>
      <c r="K201">
        <v>27.2</v>
      </c>
      <c r="L201">
        <v>68</v>
      </c>
    </row>
    <row r="202" spans="1:12">
      <c r="A202" t="s">
        <v>608</v>
      </c>
      <c r="B202" t="s">
        <v>1429</v>
      </c>
      <c r="C202" t="s">
        <v>1430</v>
      </c>
      <c r="D202">
        <v>19</v>
      </c>
      <c r="E202">
        <v>14</v>
      </c>
      <c r="F202">
        <v>8</v>
      </c>
      <c r="G202">
        <v>85</v>
      </c>
      <c r="H202">
        <v>8</v>
      </c>
      <c r="I202">
        <v>-77</v>
      </c>
      <c r="J202">
        <v>635</v>
      </c>
      <c r="K202">
        <v>35.299999999999997</v>
      </c>
      <c r="L202">
        <v>910</v>
      </c>
    </row>
    <row r="203" spans="1:12">
      <c r="A203" t="s">
        <v>17</v>
      </c>
      <c r="B203" t="s">
        <v>1431</v>
      </c>
      <c r="C203" t="s">
        <v>1432</v>
      </c>
      <c r="D203">
        <v>18</v>
      </c>
      <c r="E203">
        <v>13</v>
      </c>
      <c r="F203">
        <v>98</v>
      </c>
      <c r="G203">
        <v>98</v>
      </c>
      <c r="H203">
        <v>57</v>
      </c>
      <c r="I203">
        <v>0</v>
      </c>
      <c r="J203">
        <v>40</v>
      </c>
      <c r="K203">
        <v>2.4</v>
      </c>
      <c r="L203">
        <v>1698</v>
      </c>
    </row>
    <row r="204" spans="1:12">
      <c r="A204" t="s">
        <v>17</v>
      </c>
      <c r="B204" t="s">
        <v>57</v>
      </c>
      <c r="C204" t="s">
        <v>61</v>
      </c>
      <c r="D204">
        <v>18</v>
      </c>
      <c r="E204">
        <v>16</v>
      </c>
      <c r="F204">
        <v>78</v>
      </c>
      <c r="G204">
        <v>7</v>
      </c>
      <c r="H204">
        <v>7</v>
      </c>
      <c r="I204">
        <v>71</v>
      </c>
      <c r="J204">
        <v>1169</v>
      </c>
      <c r="K204">
        <v>68.8</v>
      </c>
      <c r="L204">
        <v>21</v>
      </c>
    </row>
    <row r="205" spans="1:12">
      <c r="A205" t="s">
        <v>17</v>
      </c>
      <c r="B205" t="s">
        <v>538</v>
      </c>
      <c r="C205" t="s">
        <v>542</v>
      </c>
      <c r="D205">
        <v>18</v>
      </c>
      <c r="E205">
        <v>16</v>
      </c>
      <c r="F205">
        <v>89</v>
      </c>
      <c r="G205">
        <v>89</v>
      </c>
      <c r="H205">
        <v>68</v>
      </c>
      <c r="I205">
        <v>0</v>
      </c>
      <c r="J205">
        <v>157</v>
      </c>
      <c r="K205">
        <v>9.1999999999999993</v>
      </c>
      <c r="L205">
        <v>27</v>
      </c>
    </row>
    <row r="206" spans="1:12">
      <c r="A206" t="s">
        <v>17</v>
      </c>
      <c r="B206" t="s">
        <v>433</v>
      </c>
      <c r="C206" t="s">
        <v>437</v>
      </c>
      <c r="D206">
        <v>18</v>
      </c>
      <c r="E206">
        <v>16</v>
      </c>
      <c r="F206">
        <v>68</v>
      </c>
      <c r="G206">
        <v>71</v>
      </c>
      <c r="H206">
        <v>15</v>
      </c>
      <c r="I206">
        <v>-3</v>
      </c>
      <c r="J206">
        <v>565</v>
      </c>
      <c r="K206">
        <v>33.200000000000003</v>
      </c>
      <c r="L206">
        <v>8</v>
      </c>
    </row>
    <row r="207" spans="1:12">
      <c r="A207" t="s">
        <v>17</v>
      </c>
      <c r="B207" t="s">
        <v>181</v>
      </c>
      <c r="C207" t="s">
        <v>185</v>
      </c>
      <c r="D207">
        <v>18</v>
      </c>
      <c r="E207">
        <v>16</v>
      </c>
      <c r="F207">
        <v>67</v>
      </c>
      <c r="G207">
        <v>28</v>
      </c>
      <c r="H207">
        <v>21</v>
      </c>
      <c r="I207">
        <v>39</v>
      </c>
      <c r="J207">
        <v>602</v>
      </c>
      <c r="K207">
        <v>35.4</v>
      </c>
      <c r="L207">
        <v>21</v>
      </c>
    </row>
    <row r="208" spans="1:12">
      <c r="A208" t="s">
        <v>17</v>
      </c>
      <c r="B208" t="s">
        <v>152</v>
      </c>
      <c r="C208" t="s">
        <v>156</v>
      </c>
      <c r="D208">
        <v>18</v>
      </c>
      <c r="E208">
        <v>16</v>
      </c>
      <c r="F208">
        <v>59</v>
      </c>
      <c r="G208">
        <v>23</v>
      </c>
      <c r="H208">
        <v>21</v>
      </c>
      <c r="I208">
        <v>36</v>
      </c>
      <c r="J208">
        <v>704</v>
      </c>
      <c r="K208">
        <v>41.4</v>
      </c>
      <c r="L208">
        <v>19</v>
      </c>
    </row>
    <row r="209" spans="1:12">
      <c r="A209" t="s">
        <v>608</v>
      </c>
      <c r="B209" t="s">
        <v>1433</v>
      </c>
      <c r="C209" t="s">
        <v>1434</v>
      </c>
      <c r="D209">
        <v>17</v>
      </c>
      <c r="E209">
        <v>13</v>
      </c>
      <c r="F209">
        <v>38</v>
      </c>
      <c r="G209">
        <v>92</v>
      </c>
      <c r="H209">
        <v>38</v>
      </c>
      <c r="I209">
        <v>-54</v>
      </c>
      <c r="J209">
        <v>243</v>
      </c>
      <c r="K209">
        <v>15.2</v>
      </c>
      <c r="L209">
        <v>20</v>
      </c>
    </row>
    <row r="210" spans="1:12">
      <c r="A210" t="s">
        <v>608</v>
      </c>
      <c r="B210" t="s">
        <v>715</v>
      </c>
      <c r="C210" t="s">
        <v>719</v>
      </c>
      <c r="D210">
        <v>17</v>
      </c>
      <c r="E210">
        <v>14</v>
      </c>
      <c r="F210">
        <v>40</v>
      </c>
      <c r="G210">
        <v>19</v>
      </c>
      <c r="H210">
        <v>11</v>
      </c>
      <c r="I210">
        <v>21</v>
      </c>
      <c r="J210">
        <v>1285</v>
      </c>
      <c r="K210">
        <v>80.3</v>
      </c>
      <c r="L210">
        <v>19</v>
      </c>
    </row>
    <row r="211" spans="1:12">
      <c r="A211" t="s">
        <v>17</v>
      </c>
      <c r="B211" t="s">
        <v>1435</v>
      </c>
      <c r="C211" t="s">
        <v>1436</v>
      </c>
      <c r="D211">
        <v>17</v>
      </c>
      <c r="E211">
        <v>13</v>
      </c>
      <c r="F211">
        <v>39</v>
      </c>
      <c r="G211">
        <v>98</v>
      </c>
      <c r="H211">
        <v>39</v>
      </c>
      <c r="I211">
        <v>-59</v>
      </c>
      <c r="J211">
        <v>181</v>
      </c>
      <c r="K211">
        <v>11.3</v>
      </c>
      <c r="L211">
        <v>36</v>
      </c>
    </row>
    <row r="212" spans="1:12">
      <c r="A212" t="s">
        <v>608</v>
      </c>
      <c r="B212" t="s">
        <v>727</v>
      </c>
      <c r="C212" t="s">
        <v>731</v>
      </c>
      <c r="D212">
        <v>17</v>
      </c>
      <c r="E212">
        <v>14</v>
      </c>
      <c r="F212">
        <v>67</v>
      </c>
      <c r="G212">
        <v>21</v>
      </c>
      <c r="H212">
        <v>19</v>
      </c>
      <c r="I212">
        <v>46</v>
      </c>
      <c r="J212">
        <v>654</v>
      </c>
      <c r="K212">
        <v>40.9</v>
      </c>
      <c r="L212">
        <v>44</v>
      </c>
    </row>
    <row r="213" spans="1:12">
      <c r="A213" t="s">
        <v>608</v>
      </c>
      <c r="B213" t="s">
        <v>1018</v>
      </c>
      <c r="C213" t="s">
        <v>1022</v>
      </c>
      <c r="D213">
        <v>17</v>
      </c>
      <c r="E213">
        <v>14</v>
      </c>
      <c r="F213">
        <v>65</v>
      </c>
      <c r="G213">
        <v>71</v>
      </c>
      <c r="H213">
        <v>14</v>
      </c>
      <c r="I213">
        <v>-6</v>
      </c>
      <c r="J213">
        <v>373</v>
      </c>
      <c r="K213">
        <v>23.3</v>
      </c>
      <c r="L213">
        <v>495</v>
      </c>
    </row>
    <row r="214" spans="1:12">
      <c r="A214" t="s">
        <v>17</v>
      </c>
      <c r="B214" t="s">
        <v>1437</v>
      </c>
      <c r="C214" t="s">
        <v>1438</v>
      </c>
      <c r="D214">
        <v>17</v>
      </c>
      <c r="E214">
        <v>13</v>
      </c>
      <c r="F214">
        <v>21</v>
      </c>
      <c r="G214">
        <v>97</v>
      </c>
      <c r="H214">
        <v>21</v>
      </c>
      <c r="I214">
        <v>-76</v>
      </c>
      <c r="J214">
        <v>279</v>
      </c>
      <c r="K214">
        <v>17.399999999999999</v>
      </c>
      <c r="L214">
        <v>26</v>
      </c>
    </row>
    <row r="215" spans="1:12">
      <c r="A215" t="s">
        <v>608</v>
      </c>
      <c r="B215" t="s">
        <v>1439</v>
      </c>
      <c r="C215" t="s">
        <v>1440</v>
      </c>
      <c r="D215">
        <v>17</v>
      </c>
      <c r="E215">
        <v>13</v>
      </c>
      <c r="F215">
        <v>69</v>
      </c>
      <c r="G215">
        <v>95</v>
      </c>
      <c r="H215">
        <v>54</v>
      </c>
      <c r="I215">
        <v>-26</v>
      </c>
      <c r="J215">
        <v>113</v>
      </c>
      <c r="K215">
        <v>7.1</v>
      </c>
      <c r="L215">
        <v>1674</v>
      </c>
    </row>
    <row r="216" spans="1:12">
      <c r="A216" t="s">
        <v>17</v>
      </c>
      <c r="B216" t="s">
        <v>572</v>
      </c>
      <c r="C216" t="s">
        <v>576</v>
      </c>
      <c r="D216">
        <v>17</v>
      </c>
      <c r="E216">
        <v>15</v>
      </c>
      <c r="F216">
        <v>85</v>
      </c>
      <c r="G216">
        <v>95</v>
      </c>
      <c r="H216">
        <v>48</v>
      </c>
      <c r="I216">
        <v>-10</v>
      </c>
      <c r="J216">
        <v>193</v>
      </c>
      <c r="K216">
        <v>12.1</v>
      </c>
      <c r="L216">
        <v>17</v>
      </c>
    </row>
    <row r="217" spans="1:12">
      <c r="A217" t="s">
        <v>17</v>
      </c>
      <c r="B217" t="s">
        <v>1441</v>
      </c>
      <c r="C217" t="s">
        <v>1442</v>
      </c>
      <c r="D217">
        <v>17</v>
      </c>
      <c r="E217">
        <v>16</v>
      </c>
      <c r="F217">
        <v>35</v>
      </c>
      <c r="G217">
        <v>77</v>
      </c>
      <c r="H217">
        <v>23</v>
      </c>
      <c r="I217">
        <v>-42</v>
      </c>
      <c r="J217">
        <v>235</v>
      </c>
      <c r="K217">
        <v>14.7</v>
      </c>
      <c r="L217">
        <v>12</v>
      </c>
    </row>
    <row r="218" spans="1:12">
      <c r="A218" t="s">
        <v>608</v>
      </c>
      <c r="B218" t="s">
        <v>914</v>
      </c>
      <c r="C218" t="s">
        <v>918</v>
      </c>
      <c r="D218">
        <v>17</v>
      </c>
      <c r="E218">
        <v>14</v>
      </c>
      <c r="F218">
        <v>92</v>
      </c>
      <c r="G218">
        <v>53</v>
      </c>
      <c r="H218">
        <v>53</v>
      </c>
      <c r="I218">
        <v>39</v>
      </c>
      <c r="J218">
        <v>360</v>
      </c>
      <c r="K218">
        <v>22.5</v>
      </c>
      <c r="L218">
        <v>22</v>
      </c>
    </row>
    <row r="219" spans="1:12">
      <c r="A219" t="s">
        <v>608</v>
      </c>
      <c r="B219" t="s">
        <v>1443</v>
      </c>
      <c r="C219" t="s">
        <v>1444</v>
      </c>
      <c r="D219">
        <v>16</v>
      </c>
      <c r="E219">
        <v>13</v>
      </c>
      <c r="F219">
        <v>90</v>
      </c>
      <c r="G219">
        <v>86</v>
      </c>
      <c r="H219">
        <v>34</v>
      </c>
      <c r="I219">
        <v>4</v>
      </c>
      <c r="J219">
        <v>511</v>
      </c>
      <c r="K219">
        <v>34.1</v>
      </c>
      <c r="L219">
        <v>11</v>
      </c>
    </row>
    <row r="220" spans="1:12">
      <c r="A220" t="s">
        <v>608</v>
      </c>
      <c r="B220" t="s">
        <v>1201</v>
      </c>
      <c r="C220" t="s">
        <v>1204</v>
      </c>
      <c r="D220">
        <v>16</v>
      </c>
      <c r="E220">
        <v>13</v>
      </c>
      <c r="F220">
        <v>95</v>
      </c>
      <c r="G220">
        <v>99</v>
      </c>
      <c r="H220">
        <v>84</v>
      </c>
      <c r="I220">
        <v>-4</v>
      </c>
      <c r="J220">
        <v>213</v>
      </c>
      <c r="K220">
        <v>14.2</v>
      </c>
      <c r="L220">
        <v>24</v>
      </c>
    </row>
    <row r="221" spans="1:12">
      <c r="A221" t="s">
        <v>608</v>
      </c>
      <c r="B221" t="s">
        <v>1445</v>
      </c>
      <c r="C221" t="s">
        <v>1446</v>
      </c>
      <c r="D221">
        <v>16</v>
      </c>
      <c r="E221">
        <v>12</v>
      </c>
      <c r="F221">
        <v>59</v>
      </c>
      <c r="G221">
        <v>94</v>
      </c>
      <c r="H221">
        <v>59</v>
      </c>
      <c r="I221">
        <v>-35</v>
      </c>
      <c r="J221">
        <v>365</v>
      </c>
      <c r="K221">
        <v>24.3</v>
      </c>
      <c r="L221">
        <v>79</v>
      </c>
    </row>
    <row r="222" spans="1:12">
      <c r="A222" t="s">
        <v>17</v>
      </c>
      <c r="B222" t="s">
        <v>1447</v>
      </c>
      <c r="C222" t="s">
        <v>1448</v>
      </c>
      <c r="D222">
        <v>16</v>
      </c>
      <c r="E222">
        <v>12</v>
      </c>
      <c r="F222">
        <v>29</v>
      </c>
      <c r="G222">
        <v>91</v>
      </c>
      <c r="H222">
        <v>28</v>
      </c>
      <c r="I222">
        <v>-62</v>
      </c>
      <c r="J222">
        <v>458</v>
      </c>
      <c r="K222">
        <v>30.5</v>
      </c>
      <c r="L222">
        <v>70</v>
      </c>
    </row>
    <row r="223" spans="1:12">
      <c r="A223" t="s">
        <v>608</v>
      </c>
      <c r="B223" t="s">
        <v>1449</v>
      </c>
      <c r="C223" t="s">
        <v>1450</v>
      </c>
      <c r="D223">
        <v>15</v>
      </c>
      <c r="E223">
        <v>11</v>
      </c>
      <c r="F223">
        <v>81</v>
      </c>
      <c r="G223">
        <v>96</v>
      </c>
      <c r="H223">
        <v>61</v>
      </c>
      <c r="I223">
        <v>-15</v>
      </c>
      <c r="J223">
        <v>286</v>
      </c>
      <c r="K223">
        <v>20.399999999999999</v>
      </c>
      <c r="L223">
        <v>14</v>
      </c>
    </row>
    <row r="224" spans="1:12">
      <c r="A224" t="s">
        <v>17</v>
      </c>
      <c r="B224" t="s">
        <v>19</v>
      </c>
      <c r="C224" t="s">
        <v>23</v>
      </c>
      <c r="D224">
        <v>15</v>
      </c>
      <c r="E224">
        <v>13</v>
      </c>
      <c r="F224">
        <v>45</v>
      </c>
      <c r="G224">
        <v>1</v>
      </c>
      <c r="H224">
        <v>1</v>
      </c>
      <c r="I224">
        <v>44</v>
      </c>
      <c r="J224">
        <v>4532</v>
      </c>
      <c r="K224">
        <v>323.7</v>
      </c>
      <c r="L224">
        <v>17</v>
      </c>
    </row>
    <row r="225" spans="1:12">
      <c r="A225" t="s">
        <v>608</v>
      </c>
      <c r="B225" t="s">
        <v>1451</v>
      </c>
      <c r="C225" t="s">
        <v>1452</v>
      </c>
      <c r="D225">
        <v>15</v>
      </c>
      <c r="E225">
        <v>11</v>
      </c>
      <c r="F225">
        <v>87</v>
      </c>
      <c r="G225">
        <v>93</v>
      </c>
      <c r="H225">
        <v>86</v>
      </c>
      <c r="I225">
        <v>-6</v>
      </c>
      <c r="J225">
        <v>227</v>
      </c>
      <c r="K225">
        <v>16.2</v>
      </c>
      <c r="L225">
        <v>16</v>
      </c>
    </row>
    <row r="226" spans="1:12">
      <c r="A226" t="s">
        <v>17</v>
      </c>
      <c r="B226" t="s">
        <v>1453</v>
      </c>
      <c r="C226" t="s">
        <v>1454</v>
      </c>
      <c r="D226">
        <v>15</v>
      </c>
      <c r="E226">
        <v>14</v>
      </c>
      <c r="F226">
        <v>71</v>
      </c>
      <c r="G226">
        <v>99</v>
      </c>
      <c r="H226">
        <v>24</v>
      </c>
      <c r="I226">
        <v>-28</v>
      </c>
      <c r="J226">
        <v>221</v>
      </c>
      <c r="K226">
        <v>15.8</v>
      </c>
      <c r="L226">
        <v>7</v>
      </c>
    </row>
    <row r="227" spans="1:12">
      <c r="A227" t="s">
        <v>608</v>
      </c>
      <c r="B227" t="s">
        <v>1455</v>
      </c>
      <c r="C227" t="s">
        <v>1456</v>
      </c>
      <c r="D227">
        <v>15</v>
      </c>
      <c r="E227">
        <v>11</v>
      </c>
      <c r="F227">
        <v>56</v>
      </c>
      <c r="G227">
        <v>98</v>
      </c>
      <c r="H227">
        <v>56</v>
      </c>
      <c r="I227">
        <v>-42</v>
      </c>
      <c r="J227">
        <v>357</v>
      </c>
      <c r="K227">
        <v>25.5</v>
      </c>
      <c r="L227">
        <v>93</v>
      </c>
    </row>
    <row r="228" spans="1:12">
      <c r="A228" t="s">
        <v>608</v>
      </c>
      <c r="B228" t="s">
        <v>1041</v>
      </c>
      <c r="C228" t="s">
        <v>1045</v>
      </c>
      <c r="D228">
        <v>15</v>
      </c>
      <c r="E228">
        <v>13</v>
      </c>
      <c r="F228">
        <v>77</v>
      </c>
      <c r="G228">
        <v>75</v>
      </c>
      <c r="H228">
        <v>44</v>
      </c>
      <c r="I228">
        <v>2</v>
      </c>
      <c r="J228">
        <v>340</v>
      </c>
      <c r="K228">
        <v>24.3</v>
      </c>
      <c r="L228">
        <v>18</v>
      </c>
    </row>
    <row r="229" spans="1:12">
      <c r="A229" t="s">
        <v>608</v>
      </c>
      <c r="B229" t="s">
        <v>838</v>
      </c>
      <c r="C229" t="s">
        <v>842</v>
      </c>
      <c r="D229">
        <v>15</v>
      </c>
      <c r="E229">
        <v>13</v>
      </c>
      <c r="F229">
        <v>71</v>
      </c>
      <c r="G229">
        <v>40</v>
      </c>
      <c r="H229">
        <v>40</v>
      </c>
      <c r="I229">
        <v>31</v>
      </c>
      <c r="J229">
        <v>643</v>
      </c>
      <c r="K229">
        <v>45.9</v>
      </c>
      <c r="L229">
        <v>26</v>
      </c>
    </row>
    <row r="230" spans="1:12">
      <c r="A230" t="s">
        <v>608</v>
      </c>
      <c r="B230" t="s">
        <v>995</v>
      </c>
      <c r="C230" t="s">
        <v>999</v>
      </c>
      <c r="D230">
        <v>15</v>
      </c>
      <c r="E230">
        <v>13</v>
      </c>
      <c r="F230">
        <v>60</v>
      </c>
      <c r="G230">
        <v>67</v>
      </c>
      <c r="H230">
        <v>56</v>
      </c>
      <c r="I230">
        <v>-7</v>
      </c>
      <c r="J230">
        <v>293</v>
      </c>
      <c r="K230">
        <v>20.9</v>
      </c>
      <c r="L230">
        <v>13</v>
      </c>
    </row>
    <row r="231" spans="1:12">
      <c r="A231" t="s">
        <v>608</v>
      </c>
      <c r="B231" t="s">
        <v>1457</v>
      </c>
      <c r="C231" t="s">
        <v>1458</v>
      </c>
      <c r="D231">
        <v>15</v>
      </c>
      <c r="E231">
        <v>12</v>
      </c>
      <c r="F231">
        <v>98</v>
      </c>
      <c r="G231">
        <v>90</v>
      </c>
      <c r="H231">
        <v>66</v>
      </c>
      <c r="I231">
        <v>8</v>
      </c>
      <c r="J231">
        <v>290</v>
      </c>
      <c r="K231">
        <v>20.7</v>
      </c>
      <c r="L231">
        <v>249</v>
      </c>
    </row>
    <row r="232" spans="1:12">
      <c r="A232" t="s">
        <v>17</v>
      </c>
      <c r="B232" t="s">
        <v>45</v>
      </c>
      <c r="C232" t="s">
        <v>49</v>
      </c>
      <c r="D232">
        <v>15</v>
      </c>
      <c r="E232">
        <v>13</v>
      </c>
      <c r="F232">
        <v>90</v>
      </c>
      <c r="G232">
        <v>5</v>
      </c>
      <c r="H232">
        <v>5</v>
      </c>
      <c r="I232">
        <v>85</v>
      </c>
      <c r="J232">
        <v>1617</v>
      </c>
      <c r="K232">
        <v>115.5</v>
      </c>
      <c r="L232">
        <v>17</v>
      </c>
    </row>
    <row r="233" spans="1:12">
      <c r="A233" t="s">
        <v>17</v>
      </c>
      <c r="B233" t="s">
        <v>1459</v>
      </c>
      <c r="C233" t="s">
        <v>1460</v>
      </c>
      <c r="D233">
        <v>15</v>
      </c>
      <c r="E233">
        <v>11</v>
      </c>
      <c r="F233">
        <v>49</v>
      </c>
      <c r="G233">
        <v>100</v>
      </c>
      <c r="H233">
        <v>49</v>
      </c>
      <c r="I233">
        <v>-51</v>
      </c>
      <c r="J233">
        <v>159</v>
      </c>
      <c r="K233">
        <v>11.4</v>
      </c>
      <c r="L233">
        <v>26</v>
      </c>
    </row>
    <row r="234" spans="1:12">
      <c r="A234" t="s">
        <v>17</v>
      </c>
      <c r="B234" t="s">
        <v>1461</v>
      </c>
      <c r="C234" t="s">
        <v>1462</v>
      </c>
      <c r="D234">
        <v>15</v>
      </c>
      <c r="E234">
        <v>11</v>
      </c>
      <c r="F234">
        <v>31</v>
      </c>
      <c r="G234">
        <v>99</v>
      </c>
      <c r="H234">
        <v>31</v>
      </c>
      <c r="I234">
        <v>-68</v>
      </c>
      <c r="J234">
        <v>146</v>
      </c>
      <c r="K234">
        <v>10.4</v>
      </c>
      <c r="L234">
        <v>21</v>
      </c>
    </row>
    <row r="235" spans="1:12">
      <c r="A235" t="s">
        <v>608</v>
      </c>
      <c r="B235" t="s">
        <v>1463</v>
      </c>
      <c r="C235" t="s">
        <v>1464</v>
      </c>
      <c r="D235">
        <v>15</v>
      </c>
      <c r="E235">
        <v>11</v>
      </c>
      <c r="F235">
        <v>61</v>
      </c>
      <c r="G235">
        <v>94</v>
      </c>
      <c r="H235">
        <v>28</v>
      </c>
      <c r="I235">
        <v>-33</v>
      </c>
      <c r="J235">
        <v>316</v>
      </c>
      <c r="K235">
        <v>22.6</v>
      </c>
      <c r="L235">
        <v>582</v>
      </c>
    </row>
    <row r="236" spans="1:12">
      <c r="A236" t="s">
        <v>608</v>
      </c>
      <c r="B236" t="s">
        <v>804</v>
      </c>
      <c r="C236" t="s">
        <v>807</v>
      </c>
      <c r="D236">
        <v>15</v>
      </c>
      <c r="E236">
        <v>13</v>
      </c>
      <c r="F236">
        <v>81</v>
      </c>
      <c r="G236">
        <v>34</v>
      </c>
      <c r="H236">
        <v>34</v>
      </c>
      <c r="I236">
        <v>47</v>
      </c>
      <c r="J236">
        <v>668</v>
      </c>
      <c r="K236">
        <v>47.7</v>
      </c>
      <c r="L236">
        <v>18</v>
      </c>
    </row>
    <row r="237" spans="1:12">
      <c r="A237" t="s">
        <v>608</v>
      </c>
      <c r="B237" t="s">
        <v>821</v>
      </c>
      <c r="C237" t="s">
        <v>825</v>
      </c>
      <c r="D237">
        <v>15</v>
      </c>
      <c r="E237">
        <v>13</v>
      </c>
      <c r="F237">
        <v>44</v>
      </c>
      <c r="G237">
        <v>37</v>
      </c>
      <c r="H237">
        <v>18</v>
      </c>
      <c r="I237">
        <v>7</v>
      </c>
      <c r="J237">
        <v>401</v>
      </c>
      <c r="K237">
        <v>28.6</v>
      </c>
      <c r="L237">
        <v>580</v>
      </c>
    </row>
    <row r="238" spans="1:12">
      <c r="A238" t="s">
        <v>17</v>
      </c>
      <c r="B238" t="s">
        <v>1465</v>
      </c>
      <c r="C238" t="s">
        <v>1466</v>
      </c>
      <c r="D238">
        <v>15</v>
      </c>
      <c r="E238">
        <v>15</v>
      </c>
      <c r="F238">
        <v>61</v>
      </c>
      <c r="G238">
        <v>93</v>
      </c>
      <c r="H238">
        <v>41</v>
      </c>
      <c r="I238">
        <v>-32</v>
      </c>
      <c r="J238">
        <v>240</v>
      </c>
      <c r="K238">
        <v>17.100000000000001</v>
      </c>
      <c r="L238">
        <v>16</v>
      </c>
    </row>
    <row r="239" spans="1:12">
      <c r="A239" t="s">
        <v>608</v>
      </c>
      <c r="B239" t="s">
        <v>1467</v>
      </c>
      <c r="C239" t="s">
        <v>1468</v>
      </c>
      <c r="D239">
        <v>15</v>
      </c>
      <c r="E239">
        <v>11</v>
      </c>
      <c r="F239">
        <v>45</v>
      </c>
      <c r="G239">
        <v>86</v>
      </c>
      <c r="H239">
        <v>16</v>
      </c>
      <c r="I239">
        <v>-41</v>
      </c>
      <c r="J239">
        <v>283</v>
      </c>
      <c r="K239">
        <v>20.2</v>
      </c>
      <c r="L239">
        <v>314</v>
      </c>
    </row>
    <row r="240" spans="1:12">
      <c r="A240" t="s">
        <v>17</v>
      </c>
      <c r="B240" t="s">
        <v>1469</v>
      </c>
      <c r="C240" t="s">
        <v>1470</v>
      </c>
      <c r="D240">
        <v>15</v>
      </c>
      <c r="E240">
        <v>15</v>
      </c>
      <c r="F240">
        <v>65</v>
      </c>
      <c r="G240">
        <v>77</v>
      </c>
      <c r="H240">
        <v>26</v>
      </c>
      <c r="I240">
        <v>-12</v>
      </c>
      <c r="J240">
        <v>99</v>
      </c>
      <c r="K240">
        <v>7.1</v>
      </c>
      <c r="L240">
        <v>356</v>
      </c>
    </row>
    <row r="241" spans="1:12">
      <c r="A241" t="s">
        <v>17</v>
      </c>
      <c r="B241" t="s">
        <v>122</v>
      </c>
      <c r="C241" t="s">
        <v>126</v>
      </c>
      <c r="D241">
        <v>15</v>
      </c>
      <c r="E241">
        <v>13</v>
      </c>
      <c r="F241">
        <v>95</v>
      </c>
      <c r="G241">
        <v>18</v>
      </c>
      <c r="H241">
        <v>14</v>
      </c>
      <c r="I241">
        <v>77</v>
      </c>
      <c r="J241">
        <v>568</v>
      </c>
      <c r="K241">
        <v>40.6</v>
      </c>
      <c r="L241">
        <v>15</v>
      </c>
    </row>
    <row r="242" spans="1:12">
      <c r="A242" t="s">
        <v>608</v>
      </c>
      <c r="B242" t="s">
        <v>1471</v>
      </c>
      <c r="C242" t="s">
        <v>1472</v>
      </c>
      <c r="D242">
        <v>14</v>
      </c>
      <c r="E242">
        <v>3</v>
      </c>
      <c r="F242">
        <v>76</v>
      </c>
      <c r="G242">
        <v>94</v>
      </c>
      <c r="H242">
        <v>76</v>
      </c>
      <c r="I242">
        <v>-18</v>
      </c>
      <c r="J242">
        <v>321</v>
      </c>
      <c r="K242">
        <v>24.7</v>
      </c>
      <c r="L242">
        <v>43</v>
      </c>
    </row>
    <row r="243" spans="1:12">
      <c r="A243" t="s">
        <v>608</v>
      </c>
      <c r="B243" t="s">
        <v>1473</v>
      </c>
      <c r="C243" t="s">
        <v>1474</v>
      </c>
      <c r="D243">
        <v>14</v>
      </c>
      <c r="E243">
        <v>10</v>
      </c>
      <c r="F243">
        <v>89</v>
      </c>
      <c r="G243">
        <v>95</v>
      </c>
      <c r="H243">
        <v>79</v>
      </c>
      <c r="I243">
        <v>-6</v>
      </c>
      <c r="J243">
        <v>178</v>
      </c>
      <c r="K243">
        <v>13.7</v>
      </c>
      <c r="L243">
        <v>19</v>
      </c>
    </row>
    <row r="244" spans="1:12">
      <c r="A244" t="s">
        <v>608</v>
      </c>
      <c r="B244" t="s">
        <v>615</v>
      </c>
      <c r="C244" t="s">
        <v>619</v>
      </c>
      <c r="D244">
        <v>14</v>
      </c>
      <c r="E244">
        <v>12</v>
      </c>
      <c r="F244">
        <v>79</v>
      </c>
      <c r="G244">
        <v>2</v>
      </c>
      <c r="H244">
        <v>2</v>
      </c>
      <c r="I244">
        <v>77</v>
      </c>
      <c r="J244">
        <v>3318</v>
      </c>
      <c r="K244">
        <v>255.2</v>
      </c>
      <c r="L244">
        <v>18</v>
      </c>
    </row>
    <row r="245" spans="1:12">
      <c r="A245" t="s">
        <v>608</v>
      </c>
      <c r="B245" t="s">
        <v>667</v>
      </c>
      <c r="C245" t="s">
        <v>671</v>
      </c>
      <c r="D245">
        <v>14</v>
      </c>
      <c r="E245">
        <v>12</v>
      </c>
      <c r="F245">
        <v>73</v>
      </c>
      <c r="G245">
        <v>11</v>
      </c>
      <c r="H245">
        <v>11</v>
      </c>
      <c r="I245">
        <v>62</v>
      </c>
      <c r="J245">
        <v>1468</v>
      </c>
      <c r="K245">
        <v>112.9</v>
      </c>
      <c r="L245">
        <v>17</v>
      </c>
    </row>
    <row r="246" spans="1:12">
      <c r="A246" t="s">
        <v>608</v>
      </c>
      <c r="B246" t="s">
        <v>971</v>
      </c>
      <c r="C246" t="s">
        <v>975</v>
      </c>
      <c r="D246">
        <v>14</v>
      </c>
      <c r="E246">
        <v>12</v>
      </c>
      <c r="F246">
        <v>62</v>
      </c>
      <c r="G246">
        <v>63</v>
      </c>
      <c r="H246">
        <v>23</v>
      </c>
      <c r="I246">
        <v>-1</v>
      </c>
      <c r="J246">
        <v>191</v>
      </c>
      <c r="K246">
        <v>14.7</v>
      </c>
      <c r="L246">
        <v>980</v>
      </c>
    </row>
    <row r="247" spans="1:12">
      <c r="A247" t="s">
        <v>608</v>
      </c>
      <c r="B247" t="s">
        <v>1475</v>
      </c>
      <c r="C247" t="s">
        <v>1476</v>
      </c>
      <c r="D247">
        <v>14</v>
      </c>
      <c r="E247">
        <v>10</v>
      </c>
      <c r="F247">
        <v>29</v>
      </c>
      <c r="G247">
        <v>66</v>
      </c>
      <c r="H247">
        <v>19</v>
      </c>
      <c r="I247">
        <v>-37</v>
      </c>
      <c r="J247">
        <v>357</v>
      </c>
      <c r="K247">
        <v>27.5</v>
      </c>
      <c r="L247">
        <v>10</v>
      </c>
    </row>
    <row r="248" spans="1:12">
      <c r="A248" t="s">
        <v>17</v>
      </c>
      <c r="B248" t="s">
        <v>1477</v>
      </c>
      <c r="C248" t="s">
        <v>1478</v>
      </c>
      <c r="D248">
        <v>14</v>
      </c>
      <c r="E248">
        <v>4</v>
      </c>
      <c r="F248">
        <v>87</v>
      </c>
      <c r="G248">
        <v>99</v>
      </c>
      <c r="H248">
        <v>87</v>
      </c>
      <c r="I248">
        <v>-12</v>
      </c>
      <c r="J248">
        <v>182</v>
      </c>
      <c r="K248">
        <v>14</v>
      </c>
      <c r="L248">
        <v>60</v>
      </c>
    </row>
    <row r="249" spans="1:12">
      <c r="A249" t="s">
        <v>608</v>
      </c>
      <c r="B249" t="s">
        <v>644</v>
      </c>
      <c r="C249" t="s">
        <v>647</v>
      </c>
      <c r="D249">
        <v>14</v>
      </c>
      <c r="E249">
        <v>12</v>
      </c>
      <c r="F249">
        <v>86</v>
      </c>
      <c r="G249">
        <v>7</v>
      </c>
      <c r="H249">
        <v>7</v>
      </c>
      <c r="I249">
        <v>79</v>
      </c>
      <c r="J249">
        <v>1572</v>
      </c>
      <c r="K249">
        <v>120.9</v>
      </c>
      <c r="L249">
        <v>19</v>
      </c>
    </row>
    <row r="250" spans="1:12">
      <c r="A250" t="s">
        <v>608</v>
      </c>
      <c r="B250" t="s">
        <v>1479</v>
      </c>
      <c r="D250">
        <v>14</v>
      </c>
      <c r="E250">
        <v>10</v>
      </c>
      <c r="F250">
        <v>10</v>
      </c>
      <c r="G250">
        <v>98</v>
      </c>
      <c r="H250">
        <v>10</v>
      </c>
      <c r="I250">
        <v>-88</v>
      </c>
      <c r="J250">
        <v>250</v>
      </c>
      <c r="K250">
        <v>19.2</v>
      </c>
      <c r="L250">
        <v>1503</v>
      </c>
    </row>
    <row r="251" spans="1:12">
      <c r="A251" t="s">
        <v>608</v>
      </c>
      <c r="B251" t="s">
        <v>1480</v>
      </c>
      <c r="C251" t="s">
        <v>1481</v>
      </c>
      <c r="D251">
        <v>14</v>
      </c>
      <c r="E251">
        <v>11</v>
      </c>
      <c r="F251">
        <v>77</v>
      </c>
      <c r="G251">
        <v>94</v>
      </c>
      <c r="H251">
        <v>34</v>
      </c>
      <c r="I251">
        <v>-17</v>
      </c>
      <c r="J251">
        <v>333</v>
      </c>
      <c r="K251">
        <v>25.6</v>
      </c>
      <c r="L251">
        <v>12</v>
      </c>
    </row>
    <row r="252" spans="1:12">
      <c r="A252" t="s">
        <v>608</v>
      </c>
      <c r="B252" t="s">
        <v>1482</v>
      </c>
      <c r="C252" t="s">
        <v>1483</v>
      </c>
      <c r="D252">
        <v>14</v>
      </c>
      <c r="E252">
        <v>10</v>
      </c>
      <c r="F252">
        <v>90</v>
      </c>
      <c r="G252">
        <v>97</v>
      </c>
      <c r="H252">
        <v>62</v>
      </c>
      <c r="I252">
        <v>-7</v>
      </c>
      <c r="J252">
        <v>107</v>
      </c>
      <c r="K252">
        <v>8.1999999999999993</v>
      </c>
      <c r="L252">
        <v>21</v>
      </c>
    </row>
    <row r="253" spans="1:12">
      <c r="A253" t="s">
        <v>608</v>
      </c>
      <c r="B253" t="s">
        <v>1484</v>
      </c>
      <c r="C253" t="s">
        <v>1485</v>
      </c>
      <c r="D253">
        <v>14</v>
      </c>
      <c r="E253">
        <v>10</v>
      </c>
      <c r="F253">
        <v>70</v>
      </c>
      <c r="G253">
        <v>86</v>
      </c>
      <c r="H253">
        <v>70</v>
      </c>
      <c r="I253">
        <v>-16</v>
      </c>
      <c r="J253">
        <v>223</v>
      </c>
      <c r="K253">
        <v>17.2</v>
      </c>
      <c r="L253">
        <v>25</v>
      </c>
    </row>
    <row r="254" spans="1:12">
      <c r="A254" t="s">
        <v>608</v>
      </c>
      <c r="B254" t="s">
        <v>1114</v>
      </c>
      <c r="C254" t="s">
        <v>1118</v>
      </c>
      <c r="D254">
        <v>14</v>
      </c>
      <c r="E254">
        <v>6</v>
      </c>
      <c r="F254">
        <v>99</v>
      </c>
      <c r="G254">
        <v>88</v>
      </c>
      <c r="H254">
        <v>88</v>
      </c>
      <c r="I254">
        <v>11</v>
      </c>
      <c r="J254">
        <v>204</v>
      </c>
      <c r="K254">
        <v>15.7</v>
      </c>
      <c r="L254">
        <v>52</v>
      </c>
    </row>
    <row r="255" spans="1:12">
      <c r="A255" t="s">
        <v>17</v>
      </c>
      <c r="B255" t="s">
        <v>1486</v>
      </c>
      <c r="C255" t="s">
        <v>1487</v>
      </c>
      <c r="D255">
        <v>14</v>
      </c>
      <c r="E255">
        <v>10</v>
      </c>
      <c r="F255">
        <v>60</v>
      </c>
      <c r="G255">
        <v>93</v>
      </c>
      <c r="H255">
        <v>60</v>
      </c>
      <c r="I255">
        <v>-33</v>
      </c>
      <c r="J255">
        <v>166</v>
      </c>
      <c r="K255">
        <v>12.8</v>
      </c>
      <c r="L255">
        <v>38</v>
      </c>
    </row>
    <row r="256" spans="1:12">
      <c r="A256" t="s">
        <v>17</v>
      </c>
      <c r="B256" t="s">
        <v>415</v>
      </c>
      <c r="C256" t="s">
        <v>419</v>
      </c>
      <c r="D256">
        <v>14</v>
      </c>
      <c r="E256">
        <v>12</v>
      </c>
      <c r="F256">
        <v>88</v>
      </c>
      <c r="G256">
        <v>68</v>
      </c>
      <c r="H256">
        <v>61</v>
      </c>
      <c r="I256">
        <v>20</v>
      </c>
      <c r="J256">
        <v>134</v>
      </c>
      <c r="K256">
        <v>10.3</v>
      </c>
      <c r="L256">
        <v>18</v>
      </c>
    </row>
    <row r="257" spans="1:12">
      <c r="A257" t="s">
        <v>608</v>
      </c>
      <c r="B257" t="s">
        <v>1488</v>
      </c>
      <c r="C257" t="s">
        <v>1489</v>
      </c>
      <c r="D257">
        <v>13</v>
      </c>
      <c r="E257">
        <v>9</v>
      </c>
      <c r="F257">
        <v>47</v>
      </c>
      <c r="G257">
        <v>80</v>
      </c>
      <c r="H257">
        <v>14</v>
      </c>
      <c r="I257">
        <v>-33</v>
      </c>
      <c r="J257">
        <v>172</v>
      </c>
      <c r="K257">
        <v>14.3</v>
      </c>
      <c r="L257">
        <v>36</v>
      </c>
    </row>
    <row r="258" spans="1:12">
      <c r="A258" t="s">
        <v>17</v>
      </c>
      <c r="B258" t="s">
        <v>1490</v>
      </c>
      <c r="C258" t="s">
        <v>1491</v>
      </c>
      <c r="D258">
        <v>13</v>
      </c>
      <c r="E258">
        <v>9</v>
      </c>
      <c r="F258">
        <v>38</v>
      </c>
      <c r="G258">
        <v>98</v>
      </c>
      <c r="H258">
        <v>38</v>
      </c>
      <c r="I258">
        <v>-60</v>
      </c>
      <c r="J258">
        <v>108</v>
      </c>
      <c r="K258">
        <v>9</v>
      </c>
      <c r="L258">
        <v>52</v>
      </c>
    </row>
    <row r="259" spans="1:12">
      <c r="A259" t="s">
        <v>17</v>
      </c>
      <c r="B259" t="s">
        <v>1492</v>
      </c>
      <c r="C259" t="s">
        <v>1493</v>
      </c>
      <c r="D259">
        <v>13</v>
      </c>
      <c r="E259">
        <v>9</v>
      </c>
      <c r="F259">
        <v>15</v>
      </c>
      <c r="G259">
        <v>73</v>
      </c>
      <c r="H259">
        <v>15</v>
      </c>
      <c r="I259">
        <v>-58</v>
      </c>
      <c r="J259">
        <v>264</v>
      </c>
      <c r="K259">
        <v>22</v>
      </c>
      <c r="L259">
        <v>13</v>
      </c>
    </row>
    <row r="260" spans="1:12">
      <c r="A260" t="s">
        <v>17</v>
      </c>
      <c r="B260" t="s">
        <v>1494</v>
      </c>
      <c r="C260" t="s">
        <v>1495</v>
      </c>
      <c r="D260">
        <v>13</v>
      </c>
      <c r="E260">
        <v>9</v>
      </c>
      <c r="F260">
        <v>18</v>
      </c>
      <c r="G260">
        <v>94</v>
      </c>
      <c r="H260">
        <v>18</v>
      </c>
      <c r="I260">
        <v>-76</v>
      </c>
      <c r="J260">
        <v>134</v>
      </c>
      <c r="K260">
        <v>11.2</v>
      </c>
      <c r="L260">
        <v>30</v>
      </c>
    </row>
    <row r="261" spans="1:12">
      <c r="A261" t="s">
        <v>17</v>
      </c>
      <c r="B261" t="s">
        <v>140</v>
      </c>
      <c r="C261" t="s">
        <v>144</v>
      </c>
      <c r="D261">
        <v>13</v>
      </c>
      <c r="E261">
        <v>11</v>
      </c>
      <c r="F261">
        <v>69</v>
      </c>
      <c r="G261">
        <v>21</v>
      </c>
      <c r="H261">
        <v>18</v>
      </c>
      <c r="I261">
        <v>48</v>
      </c>
      <c r="J261">
        <v>327</v>
      </c>
      <c r="K261">
        <v>27.2</v>
      </c>
      <c r="L261">
        <v>16</v>
      </c>
    </row>
    <row r="262" spans="1:12">
      <c r="A262" t="s">
        <v>608</v>
      </c>
      <c r="B262" t="s">
        <v>1496</v>
      </c>
      <c r="C262" t="s">
        <v>1497</v>
      </c>
      <c r="D262">
        <v>13</v>
      </c>
      <c r="E262">
        <v>9</v>
      </c>
      <c r="F262">
        <v>55</v>
      </c>
      <c r="G262">
        <v>97</v>
      </c>
      <c r="H262">
        <v>55</v>
      </c>
      <c r="I262">
        <v>-42</v>
      </c>
      <c r="J262">
        <v>219</v>
      </c>
      <c r="K262">
        <v>18.2</v>
      </c>
      <c r="L262">
        <v>66</v>
      </c>
    </row>
    <row r="263" spans="1:12">
      <c r="A263" t="s">
        <v>608</v>
      </c>
      <c r="B263" t="s">
        <v>1498</v>
      </c>
      <c r="C263" t="s">
        <v>1499</v>
      </c>
      <c r="D263">
        <v>13</v>
      </c>
      <c r="E263">
        <v>8</v>
      </c>
      <c r="F263">
        <v>68</v>
      </c>
      <c r="G263">
        <v>99</v>
      </c>
      <c r="H263">
        <v>50</v>
      </c>
      <c r="I263">
        <v>-31</v>
      </c>
      <c r="J263">
        <v>211</v>
      </c>
      <c r="K263">
        <v>17.600000000000001</v>
      </c>
      <c r="L263">
        <v>17</v>
      </c>
    </row>
    <row r="264" spans="1:12">
      <c r="A264" t="s">
        <v>608</v>
      </c>
      <c r="B264" t="s">
        <v>1500</v>
      </c>
      <c r="C264" t="s">
        <v>1501</v>
      </c>
      <c r="D264">
        <v>13</v>
      </c>
      <c r="E264">
        <v>9</v>
      </c>
      <c r="F264">
        <v>88</v>
      </c>
      <c r="G264">
        <v>100</v>
      </c>
      <c r="H264">
        <v>69</v>
      </c>
      <c r="I264">
        <v>-12</v>
      </c>
      <c r="J264">
        <v>175</v>
      </c>
      <c r="K264">
        <v>14.6</v>
      </c>
      <c r="L264">
        <v>21</v>
      </c>
    </row>
    <row r="265" spans="1:12">
      <c r="A265" t="s">
        <v>17</v>
      </c>
      <c r="B265" t="s">
        <v>358</v>
      </c>
      <c r="C265" t="s">
        <v>362</v>
      </c>
      <c r="D265">
        <v>13</v>
      </c>
      <c r="E265">
        <v>11</v>
      </c>
      <c r="F265">
        <v>97</v>
      </c>
      <c r="G265">
        <v>58</v>
      </c>
      <c r="H265">
        <v>50</v>
      </c>
      <c r="I265">
        <v>39</v>
      </c>
      <c r="J265">
        <v>152</v>
      </c>
      <c r="K265">
        <v>12.7</v>
      </c>
      <c r="L265">
        <v>29</v>
      </c>
    </row>
    <row r="266" spans="1:12">
      <c r="A266" t="s">
        <v>608</v>
      </c>
      <c r="B266" t="s">
        <v>1142</v>
      </c>
      <c r="C266" t="s">
        <v>1146</v>
      </c>
      <c r="D266">
        <v>13</v>
      </c>
      <c r="E266">
        <v>11</v>
      </c>
      <c r="F266">
        <v>86</v>
      </c>
      <c r="G266">
        <v>93</v>
      </c>
      <c r="H266">
        <v>62</v>
      </c>
      <c r="I266">
        <v>-7</v>
      </c>
      <c r="J266">
        <v>165</v>
      </c>
      <c r="K266">
        <v>13.8</v>
      </c>
      <c r="L266">
        <v>17</v>
      </c>
    </row>
    <row r="267" spans="1:12">
      <c r="A267" t="s">
        <v>17</v>
      </c>
      <c r="B267" t="s">
        <v>1502</v>
      </c>
      <c r="C267" t="s">
        <v>1503</v>
      </c>
      <c r="D267">
        <v>13</v>
      </c>
      <c r="E267">
        <v>11</v>
      </c>
      <c r="F267">
        <v>82</v>
      </c>
      <c r="G267">
        <v>98</v>
      </c>
      <c r="H267">
        <v>61</v>
      </c>
      <c r="I267">
        <v>-16</v>
      </c>
      <c r="J267">
        <v>101</v>
      </c>
      <c r="K267">
        <v>8.4</v>
      </c>
      <c r="L267">
        <v>20</v>
      </c>
    </row>
    <row r="268" spans="1:12">
      <c r="A268" t="s">
        <v>608</v>
      </c>
      <c r="B268" t="s">
        <v>1504</v>
      </c>
      <c r="C268" t="s">
        <v>1505</v>
      </c>
      <c r="D268">
        <v>13</v>
      </c>
      <c r="E268">
        <v>11</v>
      </c>
      <c r="F268">
        <v>93</v>
      </c>
      <c r="G268">
        <v>77</v>
      </c>
      <c r="H268">
        <v>19</v>
      </c>
      <c r="I268">
        <v>16</v>
      </c>
      <c r="J268">
        <v>139</v>
      </c>
      <c r="K268">
        <v>11.6</v>
      </c>
      <c r="L268">
        <v>2208</v>
      </c>
    </row>
    <row r="269" spans="1:12">
      <c r="A269" t="s">
        <v>608</v>
      </c>
      <c r="B269" t="s">
        <v>1506</v>
      </c>
      <c r="C269" t="s">
        <v>1507</v>
      </c>
      <c r="D269">
        <v>13</v>
      </c>
      <c r="E269">
        <v>9</v>
      </c>
      <c r="F269">
        <v>35</v>
      </c>
      <c r="G269">
        <v>95</v>
      </c>
      <c r="H269">
        <v>35</v>
      </c>
      <c r="I269">
        <v>-60</v>
      </c>
      <c r="J269">
        <v>169</v>
      </c>
      <c r="K269">
        <v>14.1</v>
      </c>
      <c r="L269">
        <v>20</v>
      </c>
    </row>
    <row r="270" spans="1:12">
      <c r="A270" t="s">
        <v>17</v>
      </c>
      <c r="B270" t="s">
        <v>38</v>
      </c>
      <c r="C270" t="s">
        <v>42</v>
      </c>
      <c r="D270">
        <v>13</v>
      </c>
      <c r="E270">
        <v>11</v>
      </c>
      <c r="F270">
        <v>39</v>
      </c>
      <c r="G270">
        <v>4</v>
      </c>
      <c r="H270">
        <v>3</v>
      </c>
      <c r="I270">
        <v>35</v>
      </c>
      <c r="J270">
        <v>2199</v>
      </c>
      <c r="K270">
        <v>183.2</v>
      </c>
      <c r="L270">
        <v>18</v>
      </c>
    </row>
    <row r="271" spans="1:12">
      <c r="A271" t="s">
        <v>17</v>
      </c>
      <c r="B271" t="s">
        <v>1508</v>
      </c>
      <c r="C271" t="s">
        <v>1509</v>
      </c>
      <c r="D271">
        <v>13</v>
      </c>
      <c r="E271">
        <v>9</v>
      </c>
      <c r="F271">
        <v>30</v>
      </c>
      <c r="G271">
        <v>96</v>
      </c>
      <c r="H271">
        <v>30</v>
      </c>
      <c r="I271">
        <v>-66</v>
      </c>
      <c r="J271">
        <v>104</v>
      </c>
      <c r="K271">
        <v>8.6999999999999993</v>
      </c>
      <c r="L271">
        <v>21</v>
      </c>
    </row>
    <row r="272" spans="1:12">
      <c r="A272" t="s">
        <v>608</v>
      </c>
      <c r="B272" t="s">
        <v>868</v>
      </c>
      <c r="C272" t="s">
        <v>872</v>
      </c>
      <c r="D272">
        <v>13</v>
      </c>
      <c r="E272">
        <v>11</v>
      </c>
      <c r="F272">
        <v>79</v>
      </c>
      <c r="G272">
        <v>45</v>
      </c>
      <c r="H272">
        <v>22</v>
      </c>
      <c r="I272">
        <v>34</v>
      </c>
      <c r="J272">
        <v>285</v>
      </c>
      <c r="K272">
        <v>23.8</v>
      </c>
      <c r="L272">
        <v>1573</v>
      </c>
    </row>
    <row r="273" spans="1:12">
      <c r="A273" t="s">
        <v>608</v>
      </c>
      <c r="B273" t="s">
        <v>1510</v>
      </c>
      <c r="C273" t="s">
        <v>1511</v>
      </c>
      <c r="D273">
        <v>13</v>
      </c>
      <c r="E273">
        <v>8</v>
      </c>
      <c r="F273">
        <v>31</v>
      </c>
      <c r="G273">
        <v>96</v>
      </c>
      <c r="H273">
        <v>31</v>
      </c>
      <c r="I273">
        <v>-65</v>
      </c>
      <c r="J273">
        <v>219</v>
      </c>
      <c r="K273">
        <v>18.2</v>
      </c>
      <c r="L273">
        <v>27</v>
      </c>
    </row>
    <row r="274" spans="1:12">
      <c r="A274" t="s">
        <v>17</v>
      </c>
      <c r="B274" t="s">
        <v>322</v>
      </c>
      <c r="C274" t="s">
        <v>326</v>
      </c>
      <c r="D274">
        <v>13</v>
      </c>
      <c r="E274">
        <v>11</v>
      </c>
      <c r="F274">
        <v>76</v>
      </c>
      <c r="G274">
        <v>52</v>
      </c>
      <c r="H274">
        <v>30</v>
      </c>
      <c r="I274">
        <v>24</v>
      </c>
      <c r="J274">
        <v>228</v>
      </c>
      <c r="K274">
        <v>19</v>
      </c>
      <c r="L274">
        <v>17</v>
      </c>
    </row>
    <row r="275" spans="1:12">
      <c r="A275" t="s">
        <v>17</v>
      </c>
      <c r="B275" t="s">
        <v>1512</v>
      </c>
      <c r="C275" t="s">
        <v>1513</v>
      </c>
      <c r="D275">
        <v>12</v>
      </c>
      <c r="E275">
        <v>12</v>
      </c>
      <c r="F275">
        <v>99</v>
      </c>
      <c r="G275">
        <v>88</v>
      </c>
      <c r="H275">
        <v>79</v>
      </c>
      <c r="I275">
        <v>11</v>
      </c>
      <c r="J275">
        <v>219</v>
      </c>
      <c r="K275">
        <v>19.899999999999999</v>
      </c>
      <c r="L275">
        <v>149</v>
      </c>
    </row>
    <row r="276" spans="1:12">
      <c r="A276" t="s">
        <v>608</v>
      </c>
      <c r="B276" t="s">
        <v>938</v>
      </c>
      <c r="C276" t="s">
        <v>942</v>
      </c>
      <c r="D276">
        <v>12</v>
      </c>
      <c r="E276">
        <v>10</v>
      </c>
      <c r="F276">
        <v>98</v>
      </c>
      <c r="G276">
        <v>57</v>
      </c>
      <c r="H276">
        <v>57</v>
      </c>
      <c r="I276">
        <v>41</v>
      </c>
      <c r="J276">
        <v>381</v>
      </c>
      <c r="K276">
        <v>34.6</v>
      </c>
      <c r="L276">
        <v>12</v>
      </c>
    </row>
    <row r="277" spans="1:12">
      <c r="A277" t="s">
        <v>17</v>
      </c>
      <c r="B277" t="s">
        <v>251</v>
      </c>
      <c r="C277" t="s">
        <v>255</v>
      </c>
      <c r="D277">
        <v>12</v>
      </c>
      <c r="E277">
        <v>10</v>
      </c>
      <c r="F277">
        <v>74</v>
      </c>
      <c r="G277">
        <v>40</v>
      </c>
      <c r="H277">
        <v>40</v>
      </c>
      <c r="I277">
        <v>34</v>
      </c>
      <c r="J277">
        <v>193</v>
      </c>
      <c r="K277">
        <v>17.5</v>
      </c>
      <c r="L277">
        <v>17</v>
      </c>
    </row>
    <row r="278" spans="1:12">
      <c r="A278" t="s">
        <v>608</v>
      </c>
      <c r="B278" t="s">
        <v>1514</v>
      </c>
      <c r="C278" t="s">
        <v>1515</v>
      </c>
      <c r="D278">
        <v>12</v>
      </c>
      <c r="E278">
        <v>8</v>
      </c>
      <c r="F278">
        <v>47</v>
      </c>
      <c r="G278">
        <v>67</v>
      </c>
      <c r="H278">
        <v>16</v>
      </c>
      <c r="I278">
        <v>-20</v>
      </c>
      <c r="J278">
        <v>116</v>
      </c>
      <c r="K278">
        <v>10.5</v>
      </c>
      <c r="L278">
        <v>333</v>
      </c>
    </row>
    <row r="279" spans="1:12">
      <c r="A279" t="s">
        <v>17</v>
      </c>
      <c r="B279" t="s">
        <v>99</v>
      </c>
      <c r="C279" t="s">
        <v>103</v>
      </c>
      <c r="D279">
        <v>12</v>
      </c>
      <c r="E279">
        <v>10</v>
      </c>
      <c r="F279">
        <v>80</v>
      </c>
      <c r="G279">
        <v>14</v>
      </c>
      <c r="H279">
        <v>14</v>
      </c>
      <c r="I279">
        <v>66</v>
      </c>
      <c r="J279">
        <v>479</v>
      </c>
      <c r="K279">
        <v>43.5</v>
      </c>
      <c r="L279">
        <v>15</v>
      </c>
    </row>
    <row r="280" spans="1:12">
      <c r="A280" t="s">
        <v>17</v>
      </c>
      <c r="B280" t="s">
        <v>105</v>
      </c>
      <c r="C280" t="s">
        <v>109</v>
      </c>
      <c r="D280">
        <v>12</v>
      </c>
      <c r="E280">
        <v>10</v>
      </c>
      <c r="F280">
        <v>85</v>
      </c>
      <c r="G280">
        <v>15</v>
      </c>
      <c r="H280">
        <v>12</v>
      </c>
      <c r="I280">
        <v>70</v>
      </c>
      <c r="J280">
        <v>496</v>
      </c>
      <c r="K280">
        <v>45.1</v>
      </c>
      <c r="L280">
        <v>12</v>
      </c>
    </row>
    <row r="281" spans="1:12">
      <c r="A281" t="s">
        <v>608</v>
      </c>
      <c r="B281" t="s">
        <v>774</v>
      </c>
      <c r="C281" t="s">
        <v>778</v>
      </c>
      <c r="D281">
        <v>12</v>
      </c>
      <c r="E281">
        <v>10</v>
      </c>
      <c r="F281">
        <v>92</v>
      </c>
      <c r="G281">
        <v>29</v>
      </c>
      <c r="H281">
        <v>29</v>
      </c>
      <c r="I281">
        <v>63</v>
      </c>
      <c r="J281">
        <v>251</v>
      </c>
      <c r="K281">
        <v>22.8</v>
      </c>
      <c r="L281">
        <v>207</v>
      </c>
    </row>
    <row r="282" spans="1:12">
      <c r="A282" t="s">
        <v>608</v>
      </c>
      <c r="B282" t="s">
        <v>1516</v>
      </c>
      <c r="C282" t="s">
        <v>1517</v>
      </c>
      <c r="D282">
        <v>12</v>
      </c>
      <c r="E282">
        <v>11</v>
      </c>
      <c r="F282">
        <v>33</v>
      </c>
      <c r="G282">
        <v>92</v>
      </c>
      <c r="H282">
        <v>24</v>
      </c>
      <c r="I282">
        <v>-59</v>
      </c>
      <c r="J282">
        <v>309</v>
      </c>
      <c r="K282">
        <v>28.1</v>
      </c>
      <c r="L282">
        <v>14</v>
      </c>
    </row>
    <row r="283" spans="1:12">
      <c r="A283" t="s">
        <v>608</v>
      </c>
      <c r="B283" t="s">
        <v>932</v>
      </c>
      <c r="C283" t="s">
        <v>936</v>
      </c>
      <c r="D283">
        <v>12</v>
      </c>
      <c r="E283">
        <v>10</v>
      </c>
      <c r="F283">
        <v>83</v>
      </c>
      <c r="G283">
        <v>56</v>
      </c>
      <c r="H283">
        <v>56</v>
      </c>
      <c r="I283">
        <v>27</v>
      </c>
      <c r="J283">
        <v>260</v>
      </c>
      <c r="K283">
        <v>23.6</v>
      </c>
      <c r="L283">
        <v>17</v>
      </c>
    </row>
    <row r="284" spans="1:12">
      <c r="A284" t="s">
        <v>17</v>
      </c>
      <c r="B284" t="s">
        <v>328</v>
      </c>
      <c r="C284" t="s">
        <v>332</v>
      </c>
      <c r="D284">
        <v>12</v>
      </c>
      <c r="E284">
        <v>10</v>
      </c>
      <c r="F284">
        <v>79</v>
      </c>
      <c r="G284">
        <v>53</v>
      </c>
      <c r="H284">
        <v>51</v>
      </c>
      <c r="I284">
        <v>26</v>
      </c>
      <c r="J284">
        <v>134</v>
      </c>
      <c r="K284">
        <v>12.2</v>
      </c>
      <c r="L284">
        <v>18</v>
      </c>
    </row>
    <row r="285" spans="1:12">
      <c r="A285" t="s">
        <v>17</v>
      </c>
      <c r="B285" t="s">
        <v>1518</v>
      </c>
      <c r="C285" t="s">
        <v>1519</v>
      </c>
      <c r="D285">
        <v>12</v>
      </c>
      <c r="E285">
        <v>8</v>
      </c>
      <c r="F285">
        <v>59</v>
      </c>
      <c r="G285">
        <v>91</v>
      </c>
      <c r="H285">
        <v>49</v>
      </c>
      <c r="I285">
        <v>-32</v>
      </c>
      <c r="J285">
        <v>189</v>
      </c>
      <c r="K285">
        <v>17.2</v>
      </c>
      <c r="L285">
        <v>10</v>
      </c>
    </row>
    <row r="286" spans="1:12">
      <c r="A286" t="s">
        <v>608</v>
      </c>
      <c r="B286" t="s">
        <v>949</v>
      </c>
      <c r="C286" t="s">
        <v>952</v>
      </c>
      <c r="D286">
        <v>12</v>
      </c>
      <c r="E286">
        <v>10</v>
      </c>
      <c r="F286">
        <v>88</v>
      </c>
      <c r="G286">
        <v>59</v>
      </c>
      <c r="H286">
        <v>58</v>
      </c>
      <c r="I286">
        <v>29</v>
      </c>
      <c r="J286">
        <v>175</v>
      </c>
      <c r="K286">
        <v>15.9</v>
      </c>
      <c r="L286">
        <v>23</v>
      </c>
    </row>
    <row r="287" spans="1:12">
      <c r="A287" t="s">
        <v>608</v>
      </c>
      <c r="B287" t="s">
        <v>1520</v>
      </c>
      <c r="C287" t="s">
        <v>1521</v>
      </c>
      <c r="D287">
        <v>12</v>
      </c>
      <c r="E287">
        <v>8</v>
      </c>
      <c r="F287">
        <v>40</v>
      </c>
      <c r="G287">
        <v>48</v>
      </c>
      <c r="H287">
        <v>40</v>
      </c>
      <c r="I287">
        <v>-8</v>
      </c>
      <c r="J287">
        <v>207</v>
      </c>
      <c r="K287">
        <v>18.8</v>
      </c>
      <c r="L287">
        <v>12</v>
      </c>
    </row>
    <row r="288" spans="1:12">
      <c r="A288" t="s">
        <v>608</v>
      </c>
      <c r="B288" t="s">
        <v>1522</v>
      </c>
      <c r="C288" t="s">
        <v>1523</v>
      </c>
      <c r="D288">
        <v>12</v>
      </c>
      <c r="E288">
        <v>9</v>
      </c>
      <c r="F288">
        <v>79</v>
      </c>
      <c r="G288">
        <v>94</v>
      </c>
      <c r="H288">
        <v>55</v>
      </c>
      <c r="I288">
        <v>-15</v>
      </c>
      <c r="J288">
        <v>322</v>
      </c>
      <c r="K288">
        <v>29.3</v>
      </c>
      <c r="L288">
        <v>15</v>
      </c>
    </row>
    <row r="289" spans="1:12">
      <c r="A289" t="s">
        <v>608</v>
      </c>
      <c r="B289" t="s">
        <v>1183</v>
      </c>
      <c r="C289" t="s">
        <v>1187</v>
      </c>
      <c r="D289">
        <v>12</v>
      </c>
      <c r="E289">
        <v>10</v>
      </c>
      <c r="F289">
        <v>76</v>
      </c>
      <c r="G289">
        <v>100</v>
      </c>
      <c r="H289">
        <v>44</v>
      </c>
      <c r="I289">
        <v>-24</v>
      </c>
      <c r="J289">
        <v>232</v>
      </c>
      <c r="K289">
        <v>21.1</v>
      </c>
      <c r="L289">
        <v>13</v>
      </c>
    </row>
    <row r="290" spans="1:12">
      <c r="A290" t="s">
        <v>608</v>
      </c>
      <c r="B290" t="s">
        <v>1524</v>
      </c>
      <c r="C290" t="s">
        <v>1525</v>
      </c>
      <c r="D290">
        <v>12</v>
      </c>
      <c r="E290">
        <v>5</v>
      </c>
      <c r="F290">
        <v>83</v>
      </c>
      <c r="G290">
        <v>81</v>
      </c>
      <c r="H290">
        <v>52</v>
      </c>
      <c r="I290">
        <v>2</v>
      </c>
      <c r="J290">
        <v>176</v>
      </c>
      <c r="K290">
        <v>16</v>
      </c>
      <c r="L290">
        <v>13</v>
      </c>
    </row>
    <row r="291" spans="1:12">
      <c r="A291" t="s">
        <v>17</v>
      </c>
      <c r="B291" t="s">
        <v>456</v>
      </c>
      <c r="C291" t="s">
        <v>460</v>
      </c>
      <c r="D291">
        <v>12</v>
      </c>
      <c r="E291">
        <v>10</v>
      </c>
      <c r="F291">
        <v>81</v>
      </c>
      <c r="G291">
        <v>75</v>
      </c>
      <c r="H291">
        <v>51</v>
      </c>
      <c r="I291">
        <v>6</v>
      </c>
      <c r="J291">
        <v>132</v>
      </c>
      <c r="K291">
        <v>12</v>
      </c>
      <c r="L291">
        <v>19</v>
      </c>
    </row>
    <row r="292" spans="1:12">
      <c r="A292" t="s">
        <v>17</v>
      </c>
      <c r="B292" t="s">
        <v>1526</v>
      </c>
      <c r="C292" t="s">
        <v>1527</v>
      </c>
      <c r="D292">
        <v>12</v>
      </c>
      <c r="E292">
        <v>11</v>
      </c>
      <c r="F292">
        <v>88</v>
      </c>
      <c r="G292">
        <v>87</v>
      </c>
      <c r="H292">
        <v>65</v>
      </c>
      <c r="I292">
        <v>1</v>
      </c>
      <c r="J292">
        <v>136</v>
      </c>
      <c r="K292">
        <v>12.4</v>
      </c>
      <c r="L292">
        <v>18</v>
      </c>
    </row>
    <row r="293" spans="1:12">
      <c r="A293" t="s">
        <v>608</v>
      </c>
      <c r="B293" t="s">
        <v>1528</v>
      </c>
      <c r="C293" t="s">
        <v>1529</v>
      </c>
      <c r="D293">
        <v>11</v>
      </c>
      <c r="E293">
        <v>4</v>
      </c>
      <c r="F293">
        <v>100</v>
      </c>
      <c r="G293">
        <v>95</v>
      </c>
      <c r="H293">
        <v>88</v>
      </c>
      <c r="I293">
        <v>5</v>
      </c>
      <c r="J293">
        <v>245</v>
      </c>
      <c r="K293">
        <v>24.5</v>
      </c>
      <c r="L293">
        <v>22</v>
      </c>
    </row>
    <row r="294" spans="1:12">
      <c r="A294" t="s">
        <v>17</v>
      </c>
      <c r="B294" t="s">
        <v>1530</v>
      </c>
      <c r="C294" t="s">
        <v>1531</v>
      </c>
      <c r="D294">
        <v>11</v>
      </c>
      <c r="E294">
        <v>10</v>
      </c>
      <c r="F294">
        <v>91</v>
      </c>
      <c r="G294">
        <v>93</v>
      </c>
      <c r="H294">
        <v>42</v>
      </c>
      <c r="I294">
        <v>-2</v>
      </c>
      <c r="J294">
        <v>118</v>
      </c>
      <c r="K294">
        <v>11.8</v>
      </c>
      <c r="L294">
        <v>14</v>
      </c>
    </row>
    <row r="295" spans="1:12">
      <c r="A295" t="s">
        <v>608</v>
      </c>
      <c r="B295" t="s">
        <v>1532</v>
      </c>
      <c r="C295" t="s">
        <v>1533</v>
      </c>
      <c r="D295">
        <v>11</v>
      </c>
      <c r="E295">
        <v>2</v>
      </c>
      <c r="F295">
        <v>97</v>
      </c>
      <c r="G295">
        <v>99</v>
      </c>
      <c r="H295">
        <v>97</v>
      </c>
      <c r="I295">
        <v>-2</v>
      </c>
      <c r="J295">
        <v>177</v>
      </c>
      <c r="K295">
        <v>17.7</v>
      </c>
      <c r="L295">
        <v>16</v>
      </c>
    </row>
    <row r="296" spans="1:12">
      <c r="A296" t="s">
        <v>608</v>
      </c>
      <c r="B296" t="s">
        <v>1534</v>
      </c>
      <c r="C296" t="s">
        <v>1535</v>
      </c>
      <c r="D296">
        <v>11</v>
      </c>
      <c r="E296">
        <v>7</v>
      </c>
      <c r="F296">
        <v>97</v>
      </c>
      <c r="G296">
        <v>99</v>
      </c>
      <c r="H296">
        <v>85</v>
      </c>
      <c r="I296">
        <v>-2</v>
      </c>
      <c r="J296">
        <v>200</v>
      </c>
      <c r="K296">
        <v>20</v>
      </c>
      <c r="L296">
        <v>171</v>
      </c>
    </row>
    <row r="297" spans="1:12">
      <c r="A297" t="s">
        <v>608</v>
      </c>
      <c r="B297" t="s">
        <v>1536</v>
      </c>
      <c r="C297" t="s">
        <v>1537</v>
      </c>
      <c r="D297">
        <v>11</v>
      </c>
      <c r="E297">
        <v>10</v>
      </c>
      <c r="F297">
        <v>100</v>
      </c>
      <c r="G297">
        <v>81</v>
      </c>
      <c r="H297">
        <v>51</v>
      </c>
      <c r="I297">
        <v>19</v>
      </c>
      <c r="J297">
        <v>211</v>
      </c>
      <c r="K297">
        <v>21.1</v>
      </c>
      <c r="L297">
        <v>8</v>
      </c>
    </row>
    <row r="298" spans="1:12">
      <c r="A298" t="s">
        <v>608</v>
      </c>
      <c r="B298" t="s">
        <v>1538</v>
      </c>
      <c r="C298" t="s">
        <v>1539</v>
      </c>
      <c r="D298">
        <v>11</v>
      </c>
      <c r="E298">
        <v>9</v>
      </c>
      <c r="F298">
        <v>92</v>
      </c>
      <c r="G298">
        <v>85</v>
      </c>
      <c r="H298">
        <v>57</v>
      </c>
      <c r="I298">
        <v>7</v>
      </c>
      <c r="J298">
        <v>204</v>
      </c>
      <c r="K298">
        <v>20.399999999999999</v>
      </c>
      <c r="L298">
        <v>194</v>
      </c>
    </row>
    <row r="299" spans="1:12">
      <c r="A299" t="s">
        <v>17</v>
      </c>
      <c r="B299" t="s">
        <v>1540</v>
      </c>
      <c r="C299" t="s">
        <v>1541</v>
      </c>
      <c r="D299">
        <v>11</v>
      </c>
      <c r="E299">
        <v>11</v>
      </c>
      <c r="F299">
        <v>72</v>
      </c>
      <c r="G299">
        <v>47</v>
      </c>
      <c r="H299">
        <v>35</v>
      </c>
      <c r="I299">
        <v>25</v>
      </c>
      <c r="J299">
        <v>245</v>
      </c>
      <c r="K299">
        <v>24.5</v>
      </c>
      <c r="L299">
        <v>12</v>
      </c>
    </row>
    <row r="300" spans="1:12">
      <c r="A300" t="s">
        <v>608</v>
      </c>
      <c r="B300" t="s">
        <v>638</v>
      </c>
      <c r="C300" t="s">
        <v>642</v>
      </c>
      <c r="D300">
        <v>11</v>
      </c>
      <c r="E300">
        <v>9</v>
      </c>
      <c r="F300">
        <v>71</v>
      </c>
      <c r="G300">
        <v>6</v>
      </c>
      <c r="H300">
        <v>6</v>
      </c>
      <c r="I300">
        <v>65</v>
      </c>
      <c r="J300">
        <v>1768</v>
      </c>
      <c r="K300">
        <v>176.8</v>
      </c>
      <c r="L300">
        <v>6</v>
      </c>
    </row>
    <row r="301" spans="1:12">
      <c r="A301" t="s">
        <v>608</v>
      </c>
      <c r="B301" t="s">
        <v>1542</v>
      </c>
      <c r="C301" t="s">
        <v>1543</v>
      </c>
      <c r="D301">
        <v>11</v>
      </c>
      <c r="E301">
        <v>10</v>
      </c>
      <c r="F301">
        <v>43</v>
      </c>
      <c r="G301">
        <v>79</v>
      </c>
      <c r="H301">
        <v>21</v>
      </c>
      <c r="I301">
        <v>-36</v>
      </c>
      <c r="J301">
        <v>266</v>
      </c>
      <c r="K301">
        <v>26.6</v>
      </c>
      <c r="L301">
        <v>9</v>
      </c>
    </row>
    <row r="302" spans="1:12">
      <c r="A302" t="s">
        <v>608</v>
      </c>
      <c r="B302" t="s">
        <v>1544</v>
      </c>
      <c r="C302" t="s">
        <v>1545</v>
      </c>
      <c r="D302">
        <v>11</v>
      </c>
      <c r="E302">
        <v>10</v>
      </c>
      <c r="F302">
        <v>82</v>
      </c>
      <c r="G302">
        <v>53</v>
      </c>
      <c r="H302">
        <v>21</v>
      </c>
      <c r="I302">
        <v>29</v>
      </c>
      <c r="J302">
        <v>224</v>
      </c>
      <c r="K302">
        <v>22.4</v>
      </c>
      <c r="L302">
        <v>32</v>
      </c>
    </row>
    <row r="303" spans="1:12">
      <c r="A303" t="s">
        <v>608</v>
      </c>
      <c r="B303" t="s">
        <v>908</v>
      </c>
      <c r="C303" t="s">
        <v>912</v>
      </c>
      <c r="D303">
        <v>11</v>
      </c>
      <c r="E303">
        <v>9</v>
      </c>
      <c r="F303">
        <v>64</v>
      </c>
      <c r="G303">
        <v>52</v>
      </c>
      <c r="H303">
        <v>31</v>
      </c>
      <c r="I303">
        <v>12</v>
      </c>
      <c r="J303">
        <v>213</v>
      </c>
      <c r="K303">
        <v>21.3</v>
      </c>
      <c r="L303">
        <v>12</v>
      </c>
    </row>
    <row r="304" spans="1:12">
      <c r="A304" t="s">
        <v>17</v>
      </c>
      <c r="B304" t="s">
        <v>1546</v>
      </c>
      <c r="C304" t="s">
        <v>1547</v>
      </c>
      <c r="D304">
        <v>11</v>
      </c>
      <c r="E304">
        <v>10</v>
      </c>
      <c r="F304">
        <v>71</v>
      </c>
      <c r="G304">
        <v>79</v>
      </c>
      <c r="H304">
        <v>32</v>
      </c>
      <c r="I304">
        <v>-8</v>
      </c>
      <c r="J304">
        <v>259</v>
      </c>
      <c r="K304">
        <v>25.9</v>
      </c>
      <c r="L304">
        <v>11</v>
      </c>
    </row>
    <row r="305" spans="1:12">
      <c r="A305" t="s">
        <v>17</v>
      </c>
      <c r="B305" t="s">
        <v>1548</v>
      </c>
      <c r="C305" t="s">
        <v>1549</v>
      </c>
      <c r="D305">
        <v>11</v>
      </c>
      <c r="E305">
        <v>8</v>
      </c>
      <c r="F305">
        <v>100</v>
      </c>
      <c r="G305">
        <v>92</v>
      </c>
      <c r="H305">
        <v>81</v>
      </c>
      <c r="I305">
        <v>8</v>
      </c>
      <c r="J305">
        <v>96</v>
      </c>
      <c r="K305">
        <v>9.6</v>
      </c>
      <c r="L305">
        <v>364</v>
      </c>
    </row>
    <row r="306" spans="1:12">
      <c r="A306" t="s">
        <v>17</v>
      </c>
      <c r="B306" t="s">
        <v>380</v>
      </c>
      <c r="C306" t="s">
        <v>384</v>
      </c>
      <c r="D306">
        <v>10</v>
      </c>
      <c r="E306">
        <v>9</v>
      </c>
      <c r="F306">
        <v>82</v>
      </c>
      <c r="G306">
        <v>62</v>
      </c>
      <c r="H306">
        <v>60</v>
      </c>
      <c r="I306">
        <v>20</v>
      </c>
      <c r="J306">
        <v>154</v>
      </c>
      <c r="K306">
        <v>17.100000000000001</v>
      </c>
      <c r="L306">
        <v>23</v>
      </c>
    </row>
    <row r="307" spans="1:12">
      <c r="A307" t="s">
        <v>17</v>
      </c>
      <c r="B307" t="s">
        <v>544</v>
      </c>
      <c r="C307" t="s">
        <v>548</v>
      </c>
      <c r="D307">
        <v>10</v>
      </c>
      <c r="E307">
        <v>6</v>
      </c>
      <c r="F307">
        <v>93</v>
      </c>
      <c r="G307">
        <v>90</v>
      </c>
      <c r="H307">
        <v>84</v>
      </c>
      <c r="I307">
        <v>3</v>
      </c>
      <c r="J307">
        <v>86</v>
      </c>
      <c r="K307">
        <v>9.6</v>
      </c>
      <c r="L307">
        <v>141</v>
      </c>
    </row>
    <row r="308" spans="1:12">
      <c r="A308" t="s">
        <v>608</v>
      </c>
      <c r="B308" t="s">
        <v>1550</v>
      </c>
      <c r="C308" t="s">
        <v>1551</v>
      </c>
      <c r="D308">
        <v>10</v>
      </c>
      <c r="E308">
        <v>7</v>
      </c>
      <c r="F308">
        <v>94</v>
      </c>
      <c r="G308">
        <v>92</v>
      </c>
      <c r="H308">
        <v>76</v>
      </c>
      <c r="I308">
        <v>2</v>
      </c>
      <c r="J308">
        <v>137</v>
      </c>
      <c r="K308">
        <v>15.2</v>
      </c>
      <c r="L308">
        <v>15</v>
      </c>
    </row>
    <row r="309" spans="1:12">
      <c r="A309" t="s">
        <v>17</v>
      </c>
      <c r="B309" t="s">
        <v>93</v>
      </c>
      <c r="C309" t="s">
        <v>97</v>
      </c>
      <c r="D309">
        <v>10</v>
      </c>
      <c r="E309">
        <v>9</v>
      </c>
      <c r="F309">
        <v>66</v>
      </c>
      <c r="G309">
        <v>13</v>
      </c>
      <c r="H309">
        <v>13</v>
      </c>
      <c r="I309">
        <v>53</v>
      </c>
      <c r="J309">
        <v>394</v>
      </c>
      <c r="K309">
        <v>43.8</v>
      </c>
      <c r="L309">
        <v>16</v>
      </c>
    </row>
    <row r="310" spans="1:12">
      <c r="A310" t="s">
        <v>17</v>
      </c>
      <c r="B310" t="s">
        <v>1552</v>
      </c>
      <c r="C310" t="s">
        <v>1553</v>
      </c>
      <c r="D310">
        <v>10</v>
      </c>
      <c r="E310">
        <v>7</v>
      </c>
      <c r="F310">
        <v>46</v>
      </c>
      <c r="G310">
        <v>91</v>
      </c>
      <c r="H310">
        <v>46</v>
      </c>
      <c r="I310">
        <v>-45</v>
      </c>
      <c r="J310">
        <v>237</v>
      </c>
      <c r="K310">
        <v>26.3</v>
      </c>
      <c r="L310">
        <v>34</v>
      </c>
    </row>
    <row r="311" spans="1:12">
      <c r="A311" t="s">
        <v>17</v>
      </c>
      <c r="B311" t="s">
        <v>1554</v>
      </c>
      <c r="C311" t="s">
        <v>1555</v>
      </c>
      <c r="D311">
        <v>10</v>
      </c>
      <c r="E311">
        <v>7</v>
      </c>
      <c r="F311">
        <v>43</v>
      </c>
      <c r="G311">
        <v>75</v>
      </c>
      <c r="H311">
        <v>43</v>
      </c>
      <c r="I311">
        <v>-32</v>
      </c>
      <c r="J311">
        <v>118</v>
      </c>
      <c r="K311">
        <v>13.1</v>
      </c>
      <c r="L311">
        <v>20</v>
      </c>
    </row>
    <row r="312" spans="1:12">
      <c r="A312" t="s">
        <v>608</v>
      </c>
      <c r="B312" t="s">
        <v>679</v>
      </c>
      <c r="C312" t="s">
        <v>683</v>
      </c>
      <c r="D312">
        <v>10</v>
      </c>
      <c r="E312">
        <v>8</v>
      </c>
      <c r="F312">
        <v>49</v>
      </c>
      <c r="G312">
        <v>13</v>
      </c>
      <c r="H312">
        <v>9</v>
      </c>
      <c r="I312">
        <v>36</v>
      </c>
      <c r="J312">
        <v>1016</v>
      </c>
      <c r="K312">
        <v>112.9</v>
      </c>
      <c r="L312">
        <v>9</v>
      </c>
    </row>
    <row r="313" spans="1:12">
      <c r="A313" t="s">
        <v>17</v>
      </c>
      <c r="B313" t="s">
        <v>596</v>
      </c>
      <c r="C313" t="s">
        <v>600</v>
      </c>
      <c r="D313">
        <v>10</v>
      </c>
      <c r="E313">
        <v>9</v>
      </c>
      <c r="F313">
        <v>71</v>
      </c>
      <c r="G313">
        <v>99</v>
      </c>
      <c r="H313">
        <v>42</v>
      </c>
      <c r="I313">
        <v>-28</v>
      </c>
      <c r="J313">
        <v>159</v>
      </c>
      <c r="K313">
        <v>17.7</v>
      </c>
      <c r="L313">
        <v>12</v>
      </c>
    </row>
    <row r="314" spans="1:12">
      <c r="A314" t="s">
        <v>608</v>
      </c>
      <c r="B314" t="s">
        <v>1556</v>
      </c>
      <c r="C314" t="s">
        <v>1557</v>
      </c>
      <c r="D314">
        <v>10</v>
      </c>
      <c r="E314">
        <v>7</v>
      </c>
      <c r="F314">
        <v>32</v>
      </c>
      <c r="G314">
        <v>77</v>
      </c>
      <c r="H314">
        <v>32</v>
      </c>
      <c r="I314">
        <v>-45</v>
      </c>
      <c r="J314">
        <v>159</v>
      </c>
      <c r="K314">
        <v>17.7</v>
      </c>
      <c r="L314">
        <v>17</v>
      </c>
    </row>
    <row r="315" spans="1:12">
      <c r="A315" t="s">
        <v>17</v>
      </c>
      <c r="B315" t="s">
        <v>1558</v>
      </c>
      <c r="C315" t="s">
        <v>1559</v>
      </c>
      <c r="D315">
        <v>10</v>
      </c>
      <c r="E315">
        <v>7</v>
      </c>
      <c r="F315">
        <v>11</v>
      </c>
      <c r="G315">
        <v>80</v>
      </c>
      <c r="H315">
        <v>11</v>
      </c>
      <c r="I315">
        <v>-69</v>
      </c>
      <c r="J315">
        <v>295</v>
      </c>
      <c r="K315">
        <v>32.799999999999997</v>
      </c>
      <c r="L315">
        <v>45</v>
      </c>
    </row>
    <row r="316" spans="1:12">
      <c r="A316" t="s">
        <v>608</v>
      </c>
      <c r="B316" t="s">
        <v>1080</v>
      </c>
      <c r="C316" t="s">
        <v>1084</v>
      </c>
      <c r="D316">
        <v>10</v>
      </c>
      <c r="E316">
        <v>8</v>
      </c>
      <c r="F316">
        <v>71</v>
      </c>
      <c r="G316">
        <v>82</v>
      </c>
      <c r="H316">
        <v>44</v>
      </c>
      <c r="I316">
        <v>-11</v>
      </c>
      <c r="J316">
        <v>272</v>
      </c>
      <c r="K316">
        <v>30.2</v>
      </c>
      <c r="L316">
        <v>883</v>
      </c>
    </row>
    <row r="317" spans="1:12">
      <c r="A317" t="s">
        <v>17</v>
      </c>
      <c r="B317" t="s">
        <v>1560</v>
      </c>
      <c r="C317" t="s">
        <v>1561</v>
      </c>
      <c r="D317">
        <v>10</v>
      </c>
      <c r="E317">
        <v>7</v>
      </c>
      <c r="F317">
        <v>65</v>
      </c>
      <c r="G317">
        <v>100</v>
      </c>
      <c r="H317">
        <v>65</v>
      </c>
      <c r="I317">
        <v>-35</v>
      </c>
      <c r="J317">
        <v>62</v>
      </c>
      <c r="K317">
        <v>6.9</v>
      </c>
      <c r="L317">
        <v>37</v>
      </c>
    </row>
    <row r="318" spans="1:12">
      <c r="A318" t="s">
        <v>608</v>
      </c>
      <c r="B318" t="s">
        <v>1562</v>
      </c>
      <c r="C318" t="s">
        <v>1563</v>
      </c>
      <c r="D318">
        <v>10</v>
      </c>
      <c r="E318">
        <v>7</v>
      </c>
      <c r="F318">
        <v>75</v>
      </c>
      <c r="G318">
        <v>93</v>
      </c>
      <c r="H318">
        <v>75</v>
      </c>
      <c r="I318">
        <v>-18</v>
      </c>
      <c r="J318">
        <v>176</v>
      </c>
      <c r="K318">
        <v>19.600000000000001</v>
      </c>
      <c r="L318">
        <v>10</v>
      </c>
    </row>
    <row r="319" spans="1:12">
      <c r="A319" t="s">
        <v>608</v>
      </c>
      <c r="B319" t="s">
        <v>1564</v>
      </c>
      <c r="C319" t="s">
        <v>1565</v>
      </c>
      <c r="D319">
        <v>10</v>
      </c>
      <c r="E319">
        <v>5</v>
      </c>
      <c r="F319">
        <v>96</v>
      </c>
      <c r="G319">
        <v>95</v>
      </c>
      <c r="H319">
        <v>90</v>
      </c>
      <c r="I319">
        <v>1</v>
      </c>
      <c r="J319">
        <v>70</v>
      </c>
      <c r="K319">
        <v>7.8</v>
      </c>
      <c r="L319">
        <v>68</v>
      </c>
    </row>
    <row r="320" spans="1:12">
      <c r="A320" t="s">
        <v>17</v>
      </c>
      <c r="B320" t="s">
        <v>497</v>
      </c>
      <c r="C320" t="s">
        <v>501</v>
      </c>
      <c r="D320">
        <v>10</v>
      </c>
      <c r="E320">
        <v>9</v>
      </c>
      <c r="F320">
        <v>96</v>
      </c>
      <c r="G320">
        <v>82</v>
      </c>
      <c r="H320">
        <v>50</v>
      </c>
      <c r="I320">
        <v>14</v>
      </c>
      <c r="J320">
        <v>90</v>
      </c>
      <c r="K320">
        <v>10</v>
      </c>
      <c r="L320">
        <v>847</v>
      </c>
    </row>
    <row r="321" spans="1:12">
      <c r="A321" t="s">
        <v>608</v>
      </c>
      <c r="B321" t="s">
        <v>1566</v>
      </c>
      <c r="C321" t="s">
        <v>1567</v>
      </c>
      <c r="D321">
        <v>9</v>
      </c>
      <c r="E321">
        <v>6</v>
      </c>
      <c r="F321">
        <v>46</v>
      </c>
      <c r="G321">
        <v>81</v>
      </c>
      <c r="H321">
        <v>46</v>
      </c>
      <c r="I321">
        <v>-35</v>
      </c>
      <c r="J321">
        <v>129</v>
      </c>
      <c r="K321">
        <v>16.100000000000001</v>
      </c>
      <c r="L321">
        <v>40</v>
      </c>
    </row>
    <row r="322" spans="1:12">
      <c r="A322" t="s">
        <v>608</v>
      </c>
      <c r="B322" t="s">
        <v>1568</v>
      </c>
      <c r="C322" t="s">
        <v>1569</v>
      </c>
      <c r="D322">
        <v>9</v>
      </c>
      <c r="E322">
        <v>6</v>
      </c>
      <c r="F322">
        <v>78</v>
      </c>
      <c r="G322">
        <v>88</v>
      </c>
      <c r="H322">
        <v>45</v>
      </c>
      <c r="I322">
        <v>-10</v>
      </c>
      <c r="J322">
        <v>82</v>
      </c>
      <c r="K322">
        <v>10.199999999999999</v>
      </c>
      <c r="L322">
        <v>46</v>
      </c>
    </row>
    <row r="323" spans="1:12">
      <c r="A323" t="s">
        <v>608</v>
      </c>
      <c r="B323" t="s">
        <v>1570</v>
      </c>
      <c r="C323" t="s">
        <v>1571</v>
      </c>
      <c r="D323">
        <v>9</v>
      </c>
      <c r="E323">
        <v>6</v>
      </c>
      <c r="F323">
        <v>39</v>
      </c>
      <c r="G323">
        <v>75</v>
      </c>
      <c r="H323">
        <v>39</v>
      </c>
      <c r="I323">
        <v>-36</v>
      </c>
      <c r="J323">
        <v>210</v>
      </c>
      <c r="K323">
        <v>26.2</v>
      </c>
      <c r="L323">
        <v>56</v>
      </c>
    </row>
    <row r="324" spans="1:12">
      <c r="A324" t="s">
        <v>17</v>
      </c>
      <c r="B324" t="s">
        <v>1572</v>
      </c>
      <c r="C324" t="s">
        <v>1573</v>
      </c>
      <c r="D324">
        <v>9</v>
      </c>
      <c r="E324">
        <v>8</v>
      </c>
      <c r="F324">
        <v>99</v>
      </c>
      <c r="G324">
        <v>95</v>
      </c>
      <c r="H324">
        <v>72</v>
      </c>
      <c r="I324">
        <v>4</v>
      </c>
      <c r="J324">
        <v>39</v>
      </c>
      <c r="K324">
        <v>4.9000000000000004</v>
      </c>
      <c r="L324">
        <v>22</v>
      </c>
    </row>
    <row r="325" spans="1:12">
      <c r="A325" t="s">
        <v>608</v>
      </c>
      <c r="B325" t="s">
        <v>1052</v>
      </c>
      <c r="C325" t="s">
        <v>1055</v>
      </c>
      <c r="D325">
        <v>9</v>
      </c>
      <c r="E325">
        <v>7</v>
      </c>
      <c r="F325">
        <v>91</v>
      </c>
      <c r="G325">
        <v>77</v>
      </c>
      <c r="H325">
        <v>50</v>
      </c>
      <c r="I325">
        <v>14</v>
      </c>
      <c r="J325">
        <v>167</v>
      </c>
      <c r="K325">
        <v>20.9</v>
      </c>
      <c r="L325">
        <v>11</v>
      </c>
    </row>
    <row r="326" spans="1:12">
      <c r="A326" t="s">
        <v>17</v>
      </c>
      <c r="B326" t="s">
        <v>1574</v>
      </c>
      <c r="C326" t="s">
        <v>1575</v>
      </c>
      <c r="D326">
        <v>9</v>
      </c>
      <c r="E326">
        <v>6</v>
      </c>
      <c r="F326">
        <v>76</v>
      </c>
      <c r="G326">
        <v>96</v>
      </c>
      <c r="H326">
        <v>76</v>
      </c>
      <c r="I326">
        <v>-20</v>
      </c>
      <c r="J326">
        <v>61</v>
      </c>
      <c r="K326">
        <v>7.6</v>
      </c>
      <c r="L326">
        <v>35</v>
      </c>
    </row>
    <row r="327" spans="1:12">
      <c r="A327" t="s">
        <v>608</v>
      </c>
      <c r="B327" t="s">
        <v>1576</v>
      </c>
      <c r="C327" t="s">
        <v>1577</v>
      </c>
      <c r="D327">
        <v>9</v>
      </c>
      <c r="E327">
        <v>6</v>
      </c>
      <c r="F327">
        <v>64</v>
      </c>
      <c r="G327">
        <v>96</v>
      </c>
      <c r="H327">
        <v>64</v>
      </c>
      <c r="I327">
        <v>-32</v>
      </c>
      <c r="J327">
        <v>57</v>
      </c>
      <c r="K327">
        <v>7.1</v>
      </c>
      <c r="L327">
        <v>483</v>
      </c>
    </row>
    <row r="328" spans="1:12">
      <c r="A328" t="s">
        <v>608</v>
      </c>
      <c r="B328" t="s">
        <v>960</v>
      </c>
      <c r="C328" t="s">
        <v>963</v>
      </c>
      <c r="D328">
        <v>9</v>
      </c>
      <c r="E328">
        <v>7</v>
      </c>
      <c r="F328">
        <v>93</v>
      </c>
      <c r="G328">
        <v>61</v>
      </c>
      <c r="H328">
        <v>61</v>
      </c>
      <c r="I328">
        <v>32</v>
      </c>
      <c r="J328">
        <v>172</v>
      </c>
      <c r="K328">
        <v>21.5</v>
      </c>
      <c r="L328">
        <v>14</v>
      </c>
    </row>
    <row r="329" spans="1:12">
      <c r="A329" t="s">
        <v>17</v>
      </c>
      <c r="B329" t="s">
        <v>310</v>
      </c>
      <c r="C329" t="s">
        <v>314</v>
      </c>
      <c r="D329">
        <v>9</v>
      </c>
      <c r="E329">
        <v>8</v>
      </c>
      <c r="F329">
        <v>99</v>
      </c>
      <c r="G329">
        <v>50</v>
      </c>
      <c r="H329">
        <v>50</v>
      </c>
      <c r="I329">
        <v>49</v>
      </c>
      <c r="J329">
        <v>151</v>
      </c>
      <c r="K329">
        <v>18.899999999999999</v>
      </c>
      <c r="L329">
        <v>27</v>
      </c>
    </row>
    <row r="330" spans="1:12">
      <c r="A330" t="s">
        <v>17</v>
      </c>
      <c r="B330" t="s">
        <v>63</v>
      </c>
      <c r="C330" t="s">
        <v>67</v>
      </c>
      <c r="D330">
        <v>9</v>
      </c>
      <c r="E330">
        <v>8</v>
      </c>
      <c r="F330">
        <v>56</v>
      </c>
      <c r="G330">
        <v>8</v>
      </c>
      <c r="H330">
        <v>8</v>
      </c>
      <c r="I330">
        <v>48</v>
      </c>
      <c r="J330">
        <v>576</v>
      </c>
      <c r="K330">
        <v>72</v>
      </c>
      <c r="L330">
        <v>11</v>
      </c>
    </row>
    <row r="331" spans="1:12">
      <c r="A331" t="s">
        <v>17</v>
      </c>
      <c r="B331" t="s">
        <v>1578</v>
      </c>
      <c r="C331" t="s">
        <v>1579</v>
      </c>
      <c r="D331">
        <v>9</v>
      </c>
      <c r="E331">
        <v>6</v>
      </c>
      <c r="F331">
        <v>85</v>
      </c>
      <c r="G331">
        <v>97</v>
      </c>
      <c r="H331">
        <v>85</v>
      </c>
      <c r="I331">
        <v>-12</v>
      </c>
      <c r="J331">
        <v>111</v>
      </c>
      <c r="K331">
        <v>13.9</v>
      </c>
      <c r="L331">
        <v>66</v>
      </c>
    </row>
    <row r="332" spans="1:12">
      <c r="A332" t="s">
        <v>17</v>
      </c>
      <c r="B332" t="s">
        <v>1580</v>
      </c>
      <c r="C332" t="s">
        <v>1581</v>
      </c>
      <c r="D332">
        <v>9</v>
      </c>
      <c r="E332">
        <v>6</v>
      </c>
      <c r="F332">
        <v>82</v>
      </c>
      <c r="G332">
        <v>98</v>
      </c>
      <c r="H332">
        <v>82</v>
      </c>
      <c r="I332">
        <v>-16</v>
      </c>
      <c r="J332">
        <v>53</v>
      </c>
      <c r="K332">
        <v>6.6</v>
      </c>
      <c r="L332">
        <v>21</v>
      </c>
    </row>
    <row r="333" spans="1:12">
      <c r="A333" t="s">
        <v>608</v>
      </c>
      <c r="B333" t="s">
        <v>1582</v>
      </c>
      <c r="C333" t="s">
        <v>1583</v>
      </c>
      <c r="D333">
        <v>9</v>
      </c>
      <c r="E333">
        <v>6</v>
      </c>
      <c r="F333">
        <v>22</v>
      </c>
      <c r="G333">
        <v>98</v>
      </c>
      <c r="H333">
        <v>22</v>
      </c>
      <c r="I333">
        <v>-76</v>
      </c>
      <c r="J333">
        <v>236</v>
      </c>
      <c r="K333">
        <v>29.5</v>
      </c>
      <c r="L333">
        <v>10</v>
      </c>
    </row>
    <row r="334" spans="1:12">
      <c r="A334" t="s">
        <v>608</v>
      </c>
      <c r="B334" t="s">
        <v>815</v>
      </c>
      <c r="C334" t="s">
        <v>819</v>
      </c>
      <c r="D334">
        <v>9</v>
      </c>
      <c r="E334">
        <v>7</v>
      </c>
      <c r="F334">
        <v>99</v>
      </c>
      <c r="G334">
        <v>36</v>
      </c>
      <c r="H334">
        <v>30</v>
      </c>
      <c r="I334">
        <v>63</v>
      </c>
      <c r="J334">
        <v>77</v>
      </c>
      <c r="K334">
        <v>9.6</v>
      </c>
      <c r="L334">
        <v>479</v>
      </c>
    </row>
    <row r="335" spans="1:12">
      <c r="A335" t="s">
        <v>17</v>
      </c>
      <c r="B335" t="s">
        <v>1584</v>
      </c>
      <c r="C335" t="s">
        <v>1585</v>
      </c>
      <c r="D335">
        <v>8</v>
      </c>
      <c r="E335">
        <v>7</v>
      </c>
      <c r="F335">
        <v>40</v>
      </c>
      <c r="G335">
        <v>1</v>
      </c>
      <c r="H335">
        <v>1</v>
      </c>
      <c r="I335">
        <v>39</v>
      </c>
      <c r="J335">
        <v>1736</v>
      </c>
      <c r="K335">
        <v>248</v>
      </c>
      <c r="L335">
        <v>9</v>
      </c>
    </row>
    <row r="336" spans="1:12">
      <c r="A336" t="s">
        <v>17</v>
      </c>
      <c r="B336" t="s">
        <v>158</v>
      </c>
      <c r="C336" t="s">
        <v>162</v>
      </c>
      <c r="D336">
        <v>8</v>
      </c>
      <c r="E336">
        <v>7</v>
      </c>
      <c r="F336">
        <v>87</v>
      </c>
      <c r="G336">
        <v>24</v>
      </c>
      <c r="H336">
        <v>24</v>
      </c>
      <c r="I336">
        <v>63</v>
      </c>
      <c r="J336">
        <v>212</v>
      </c>
      <c r="K336">
        <v>30.3</v>
      </c>
      <c r="L336">
        <v>11</v>
      </c>
    </row>
    <row r="337" spans="1:12">
      <c r="A337" t="s">
        <v>17</v>
      </c>
      <c r="B337" t="s">
        <v>1586</v>
      </c>
      <c r="C337" t="s">
        <v>1587</v>
      </c>
      <c r="D337">
        <v>8</v>
      </c>
      <c r="E337">
        <v>5</v>
      </c>
      <c r="F337">
        <v>69</v>
      </c>
      <c r="G337">
        <v>98</v>
      </c>
      <c r="H337">
        <v>69</v>
      </c>
      <c r="I337">
        <v>-29</v>
      </c>
      <c r="J337">
        <v>65</v>
      </c>
      <c r="K337">
        <v>9.3000000000000007</v>
      </c>
      <c r="L337">
        <v>60</v>
      </c>
    </row>
    <row r="338" spans="1:12">
      <c r="A338" t="s">
        <v>17</v>
      </c>
      <c r="B338" t="s">
        <v>1588</v>
      </c>
      <c r="C338" t="s">
        <v>1589</v>
      </c>
      <c r="D338">
        <v>8</v>
      </c>
      <c r="E338">
        <v>5</v>
      </c>
      <c r="F338">
        <v>62</v>
      </c>
      <c r="G338">
        <v>91</v>
      </c>
      <c r="H338">
        <v>62</v>
      </c>
      <c r="I338">
        <v>-29</v>
      </c>
      <c r="J338">
        <v>106</v>
      </c>
      <c r="K338">
        <v>15.1</v>
      </c>
      <c r="L338">
        <v>14</v>
      </c>
    </row>
    <row r="339" spans="1:12">
      <c r="A339" t="s">
        <v>17</v>
      </c>
      <c r="B339" t="s">
        <v>352</v>
      </c>
      <c r="C339" t="s">
        <v>356</v>
      </c>
      <c r="D339">
        <v>8</v>
      </c>
      <c r="E339">
        <v>7</v>
      </c>
      <c r="F339">
        <v>89</v>
      </c>
      <c r="G339">
        <v>57</v>
      </c>
      <c r="H339">
        <v>57</v>
      </c>
      <c r="I339">
        <v>32</v>
      </c>
      <c r="J339">
        <v>54</v>
      </c>
      <c r="K339">
        <v>7.7</v>
      </c>
      <c r="L339">
        <v>30</v>
      </c>
    </row>
    <row r="340" spans="1:12">
      <c r="A340" t="s">
        <v>608</v>
      </c>
      <c r="B340" t="s">
        <v>1590</v>
      </c>
      <c r="C340" t="s">
        <v>1591</v>
      </c>
      <c r="D340">
        <v>8</v>
      </c>
      <c r="E340">
        <v>5</v>
      </c>
      <c r="F340">
        <v>94</v>
      </c>
      <c r="G340">
        <v>97</v>
      </c>
      <c r="H340">
        <v>85</v>
      </c>
      <c r="I340">
        <v>-3</v>
      </c>
      <c r="J340">
        <v>33</v>
      </c>
      <c r="K340">
        <v>4.7</v>
      </c>
      <c r="L340">
        <v>8</v>
      </c>
    </row>
    <row r="341" spans="1:12">
      <c r="A341" t="s">
        <v>608</v>
      </c>
      <c r="B341" t="s">
        <v>1592</v>
      </c>
      <c r="C341" t="s">
        <v>1593</v>
      </c>
      <c r="D341">
        <v>8</v>
      </c>
      <c r="E341">
        <v>4</v>
      </c>
      <c r="F341">
        <v>100</v>
      </c>
      <c r="G341">
        <v>98</v>
      </c>
      <c r="H341">
        <v>94</v>
      </c>
      <c r="I341">
        <v>2</v>
      </c>
      <c r="J341">
        <v>98</v>
      </c>
      <c r="K341">
        <v>14</v>
      </c>
      <c r="L341">
        <v>76</v>
      </c>
    </row>
    <row r="342" spans="1:12">
      <c r="A342" t="s">
        <v>608</v>
      </c>
      <c r="B342" t="s">
        <v>1594</v>
      </c>
      <c r="C342" t="s">
        <v>1595</v>
      </c>
      <c r="D342">
        <v>8</v>
      </c>
      <c r="E342">
        <v>5</v>
      </c>
      <c r="F342">
        <v>60</v>
      </c>
      <c r="G342">
        <v>100</v>
      </c>
      <c r="H342">
        <v>60</v>
      </c>
      <c r="I342">
        <v>-40</v>
      </c>
      <c r="J342">
        <v>100</v>
      </c>
      <c r="K342">
        <v>14.3</v>
      </c>
      <c r="L342">
        <v>13</v>
      </c>
    </row>
    <row r="343" spans="1:12">
      <c r="A343" t="s">
        <v>608</v>
      </c>
      <c r="B343" t="s">
        <v>1596</v>
      </c>
      <c r="C343" t="s">
        <v>1597</v>
      </c>
      <c r="D343">
        <v>8</v>
      </c>
      <c r="E343">
        <v>5</v>
      </c>
      <c r="F343">
        <v>65</v>
      </c>
      <c r="G343">
        <v>100</v>
      </c>
      <c r="H343">
        <v>65</v>
      </c>
      <c r="I343">
        <v>-35</v>
      </c>
      <c r="J343">
        <v>68</v>
      </c>
      <c r="K343">
        <v>9.6999999999999993</v>
      </c>
      <c r="L343">
        <v>75</v>
      </c>
    </row>
    <row r="344" spans="1:12">
      <c r="A344" t="s">
        <v>608</v>
      </c>
      <c r="B344" t="s">
        <v>1598</v>
      </c>
      <c r="C344" t="s">
        <v>1599</v>
      </c>
      <c r="D344">
        <v>8</v>
      </c>
      <c r="E344">
        <v>5</v>
      </c>
      <c r="F344">
        <v>83</v>
      </c>
      <c r="G344">
        <v>92</v>
      </c>
      <c r="H344">
        <v>55</v>
      </c>
      <c r="I344">
        <v>-9</v>
      </c>
      <c r="J344">
        <v>226</v>
      </c>
      <c r="K344">
        <v>32.299999999999997</v>
      </c>
      <c r="L344">
        <v>7</v>
      </c>
    </row>
    <row r="345" spans="1:12">
      <c r="A345" t="s">
        <v>608</v>
      </c>
      <c r="B345" t="s">
        <v>1600</v>
      </c>
      <c r="C345" t="s">
        <v>1601</v>
      </c>
      <c r="D345">
        <v>8</v>
      </c>
      <c r="E345">
        <v>5</v>
      </c>
      <c r="F345">
        <v>49</v>
      </c>
      <c r="G345">
        <v>96</v>
      </c>
      <c r="H345">
        <v>41</v>
      </c>
      <c r="I345">
        <v>-47</v>
      </c>
      <c r="J345">
        <v>69</v>
      </c>
      <c r="K345">
        <v>9.9</v>
      </c>
      <c r="L345">
        <v>968</v>
      </c>
    </row>
    <row r="346" spans="1:12">
      <c r="A346" t="s">
        <v>608</v>
      </c>
      <c r="B346" t="s">
        <v>1602</v>
      </c>
      <c r="C346" t="s">
        <v>1603</v>
      </c>
      <c r="D346">
        <v>8</v>
      </c>
      <c r="E346">
        <v>5</v>
      </c>
      <c r="F346">
        <v>57</v>
      </c>
      <c r="G346">
        <v>58</v>
      </c>
      <c r="H346">
        <v>36</v>
      </c>
      <c r="I346">
        <v>-1</v>
      </c>
      <c r="J346">
        <v>149</v>
      </c>
      <c r="K346">
        <v>21.3</v>
      </c>
      <c r="L346">
        <v>5</v>
      </c>
    </row>
    <row r="347" spans="1:12">
      <c r="A347" t="s">
        <v>17</v>
      </c>
      <c r="B347" t="s">
        <v>386</v>
      </c>
      <c r="C347" t="s">
        <v>390</v>
      </c>
      <c r="D347">
        <v>8</v>
      </c>
      <c r="E347">
        <v>7</v>
      </c>
      <c r="F347">
        <v>78</v>
      </c>
      <c r="G347">
        <v>63</v>
      </c>
      <c r="H347">
        <v>54</v>
      </c>
      <c r="I347">
        <v>15</v>
      </c>
      <c r="J347">
        <v>118</v>
      </c>
      <c r="K347">
        <v>16.899999999999999</v>
      </c>
      <c r="L347">
        <v>517</v>
      </c>
    </row>
    <row r="348" spans="1:12">
      <c r="A348" t="s">
        <v>17</v>
      </c>
      <c r="B348" t="s">
        <v>1604</v>
      </c>
      <c r="C348" t="s">
        <v>1605</v>
      </c>
      <c r="D348">
        <v>8</v>
      </c>
      <c r="E348">
        <v>7</v>
      </c>
      <c r="F348">
        <v>69</v>
      </c>
      <c r="G348">
        <v>92</v>
      </c>
      <c r="H348">
        <v>38</v>
      </c>
      <c r="I348">
        <v>-23</v>
      </c>
      <c r="J348">
        <v>75</v>
      </c>
      <c r="K348">
        <v>10.7</v>
      </c>
      <c r="L348">
        <v>8</v>
      </c>
    </row>
    <row r="349" spans="1:12">
      <c r="A349" t="s">
        <v>608</v>
      </c>
      <c r="B349" t="s">
        <v>1606</v>
      </c>
      <c r="C349" t="s">
        <v>1607</v>
      </c>
      <c r="D349">
        <v>8</v>
      </c>
      <c r="E349">
        <v>5</v>
      </c>
      <c r="F349">
        <v>79</v>
      </c>
      <c r="G349">
        <v>95</v>
      </c>
      <c r="H349">
        <v>79</v>
      </c>
      <c r="I349">
        <v>-16</v>
      </c>
      <c r="J349">
        <v>47</v>
      </c>
      <c r="K349">
        <v>6.7</v>
      </c>
      <c r="L349">
        <v>22</v>
      </c>
    </row>
    <row r="350" spans="1:12">
      <c r="A350" t="s">
        <v>17</v>
      </c>
      <c r="B350" t="s">
        <v>1608</v>
      </c>
      <c r="C350" t="s">
        <v>1609</v>
      </c>
      <c r="D350">
        <v>8</v>
      </c>
      <c r="E350">
        <v>5</v>
      </c>
      <c r="F350">
        <v>84</v>
      </c>
      <c r="G350">
        <v>100</v>
      </c>
      <c r="H350">
        <v>84</v>
      </c>
      <c r="I350">
        <v>-16</v>
      </c>
      <c r="J350">
        <v>18</v>
      </c>
      <c r="K350">
        <v>2.6</v>
      </c>
      <c r="L350">
        <v>78</v>
      </c>
    </row>
    <row r="351" spans="1:12">
      <c r="A351" t="s">
        <v>17</v>
      </c>
      <c r="B351" t="s">
        <v>1610</v>
      </c>
      <c r="C351" t="s">
        <v>1611</v>
      </c>
      <c r="D351">
        <v>7</v>
      </c>
      <c r="E351">
        <v>6</v>
      </c>
      <c r="F351">
        <v>77</v>
      </c>
      <c r="G351">
        <v>73</v>
      </c>
      <c r="H351">
        <v>39</v>
      </c>
      <c r="I351">
        <v>4</v>
      </c>
      <c r="J351">
        <v>89</v>
      </c>
      <c r="K351">
        <v>14.8</v>
      </c>
      <c r="L351">
        <v>0</v>
      </c>
    </row>
    <row r="352" spans="1:12">
      <c r="A352" t="s">
        <v>17</v>
      </c>
      <c r="B352" t="s">
        <v>204</v>
      </c>
      <c r="C352" t="s">
        <v>208</v>
      </c>
      <c r="D352">
        <v>7</v>
      </c>
      <c r="E352">
        <v>6</v>
      </c>
      <c r="F352">
        <v>100</v>
      </c>
      <c r="G352">
        <v>32</v>
      </c>
      <c r="H352">
        <v>32</v>
      </c>
      <c r="I352">
        <v>68</v>
      </c>
      <c r="J352">
        <v>82</v>
      </c>
      <c r="K352">
        <v>13.7</v>
      </c>
      <c r="L352">
        <v>489</v>
      </c>
    </row>
    <row r="353" spans="1:12">
      <c r="A353" t="s">
        <v>608</v>
      </c>
      <c r="B353" t="s">
        <v>1612</v>
      </c>
      <c r="C353" t="s">
        <v>1613</v>
      </c>
      <c r="D353">
        <v>7</v>
      </c>
      <c r="E353">
        <v>6</v>
      </c>
      <c r="F353">
        <v>87</v>
      </c>
      <c r="G353">
        <v>82</v>
      </c>
      <c r="H353">
        <v>75</v>
      </c>
      <c r="I353">
        <v>5</v>
      </c>
      <c r="J353">
        <v>155</v>
      </c>
      <c r="K353">
        <v>25.8</v>
      </c>
      <c r="L353">
        <v>6</v>
      </c>
    </row>
    <row r="354" spans="1:12">
      <c r="A354" t="s">
        <v>17</v>
      </c>
      <c r="B354" t="s">
        <v>1614</v>
      </c>
      <c r="C354" t="s">
        <v>1615</v>
      </c>
      <c r="D354">
        <v>7</v>
      </c>
      <c r="E354">
        <v>4</v>
      </c>
      <c r="F354">
        <v>93</v>
      </c>
      <c r="G354">
        <v>98</v>
      </c>
      <c r="H354">
        <v>93</v>
      </c>
      <c r="I354">
        <v>-5</v>
      </c>
      <c r="J354">
        <v>42</v>
      </c>
      <c r="K354">
        <v>7</v>
      </c>
      <c r="L354">
        <v>31</v>
      </c>
    </row>
    <row r="355" spans="1:12">
      <c r="A355" t="s">
        <v>608</v>
      </c>
      <c r="B355" t="s">
        <v>1616</v>
      </c>
      <c r="C355" t="s">
        <v>1617</v>
      </c>
      <c r="D355">
        <v>7</v>
      </c>
      <c r="E355">
        <v>4</v>
      </c>
      <c r="F355">
        <v>84</v>
      </c>
      <c r="G355">
        <v>89</v>
      </c>
      <c r="H355">
        <v>84</v>
      </c>
      <c r="I355">
        <v>-5</v>
      </c>
      <c r="J355">
        <v>56</v>
      </c>
      <c r="K355">
        <v>9.3000000000000007</v>
      </c>
      <c r="L355">
        <v>211</v>
      </c>
    </row>
    <row r="356" spans="1:12">
      <c r="A356" t="s">
        <v>17</v>
      </c>
      <c r="B356" t="s">
        <v>1618</v>
      </c>
      <c r="C356" t="s">
        <v>1619</v>
      </c>
      <c r="D356">
        <v>7</v>
      </c>
      <c r="E356">
        <v>4</v>
      </c>
      <c r="F356">
        <v>57</v>
      </c>
      <c r="G356">
        <v>96</v>
      </c>
      <c r="H356">
        <v>57</v>
      </c>
      <c r="I356">
        <v>-39</v>
      </c>
      <c r="J356">
        <v>21</v>
      </c>
      <c r="K356">
        <v>3.5</v>
      </c>
      <c r="L356">
        <v>78</v>
      </c>
    </row>
    <row r="357" spans="1:12">
      <c r="A357" t="s">
        <v>17</v>
      </c>
      <c r="B357" t="s">
        <v>1620</v>
      </c>
      <c r="C357" t="s">
        <v>1621</v>
      </c>
      <c r="D357">
        <v>7</v>
      </c>
      <c r="E357">
        <v>6</v>
      </c>
      <c r="F357">
        <v>93</v>
      </c>
      <c r="G357">
        <v>93</v>
      </c>
      <c r="H357">
        <v>66</v>
      </c>
      <c r="I357">
        <v>0</v>
      </c>
      <c r="J357">
        <v>18</v>
      </c>
      <c r="K357">
        <v>3</v>
      </c>
      <c r="L357">
        <v>8</v>
      </c>
    </row>
    <row r="358" spans="1:12">
      <c r="A358" t="s">
        <v>608</v>
      </c>
      <c r="B358" t="s">
        <v>1622</v>
      </c>
      <c r="C358" t="s">
        <v>1623</v>
      </c>
      <c r="D358">
        <v>7</v>
      </c>
      <c r="E358">
        <v>5</v>
      </c>
      <c r="F358">
        <v>96</v>
      </c>
      <c r="G358">
        <v>72</v>
      </c>
      <c r="H358">
        <v>56</v>
      </c>
      <c r="I358">
        <v>24</v>
      </c>
      <c r="J358">
        <v>93</v>
      </c>
      <c r="K358">
        <v>15.5</v>
      </c>
      <c r="L358">
        <v>1168</v>
      </c>
    </row>
    <row r="359" spans="1:12">
      <c r="A359" t="s">
        <v>17</v>
      </c>
      <c r="B359" t="s">
        <v>375</v>
      </c>
      <c r="C359" t="s">
        <v>378</v>
      </c>
      <c r="D359">
        <v>7</v>
      </c>
      <c r="E359">
        <v>6</v>
      </c>
      <c r="F359">
        <v>95</v>
      </c>
      <c r="G359">
        <v>61</v>
      </c>
      <c r="H359">
        <v>60</v>
      </c>
      <c r="I359">
        <v>34</v>
      </c>
      <c r="J359">
        <v>80</v>
      </c>
      <c r="K359">
        <v>13.3</v>
      </c>
      <c r="L359">
        <v>12</v>
      </c>
    </row>
    <row r="360" spans="1:12">
      <c r="A360" t="s">
        <v>608</v>
      </c>
      <c r="B360" t="s">
        <v>1624</v>
      </c>
      <c r="C360" t="s">
        <v>1625</v>
      </c>
      <c r="D360">
        <v>7</v>
      </c>
      <c r="E360">
        <v>6</v>
      </c>
      <c r="F360">
        <v>85</v>
      </c>
      <c r="G360">
        <v>88</v>
      </c>
      <c r="H360">
        <v>68</v>
      </c>
      <c r="I360">
        <v>-3</v>
      </c>
      <c r="J360">
        <v>27</v>
      </c>
      <c r="K360">
        <v>4.5</v>
      </c>
      <c r="L360">
        <v>1886</v>
      </c>
    </row>
    <row r="361" spans="1:12">
      <c r="A361" t="s">
        <v>608</v>
      </c>
      <c r="B361" t="s">
        <v>1626</v>
      </c>
      <c r="C361" t="s">
        <v>1627</v>
      </c>
      <c r="D361">
        <v>7</v>
      </c>
      <c r="E361">
        <v>4</v>
      </c>
      <c r="F361">
        <v>95</v>
      </c>
      <c r="G361">
        <v>85</v>
      </c>
      <c r="H361">
        <v>81</v>
      </c>
      <c r="I361">
        <v>10</v>
      </c>
      <c r="J361">
        <v>87</v>
      </c>
      <c r="K361">
        <v>14.5</v>
      </c>
      <c r="L361">
        <v>11</v>
      </c>
    </row>
    <row r="362" spans="1:12">
      <c r="A362" t="s">
        <v>608</v>
      </c>
      <c r="B362" t="s">
        <v>1628</v>
      </c>
      <c r="C362" t="s">
        <v>1629</v>
      </c>
      <c r="D362">
        <v>7</v>
      </c>
      <c r="E362">
        <v>4</v>
      </c>
      <c r="F362">
        <v>58</v>
      </c>
      <c r="G362">
        <v>92</v>
      </c>
      <c r="H362">
        <v>58</v>
      </c>
      <c r="I362">
        <v>-34</v>
      </c>
      <c r="J362">
        <v>38</v>
      </c>
      <c r="K362">
        <v>6.3</v>
      </c>
      <c r="L362">
        <v>27</v>
      </c>
    </row>
    <row r="363" spans="1:12">
      <c r="A363" t="s">
        <v>608</v>
      </c>
      <c r="B363" t="s">
        <v>1630</v>
      </c>
      <c r="C363" t="s">
        <v>1631</v>
      </c>
      <c r="D363">
        <v>7</v>
      </c>
      <c r="E363">
        <v>6</v>
      </c>
      <c r="F363">
        <v>75</v>
      </c>
      <c r="G363">
        <v>89</v>
      </c>
      <c r="H363">
        <v>52</v>
      </c>
      <c r="I363">
        <v>-14</v>
      </c>
      <c r="J363">
        <v>78</v>
      </c>
      <c r="K363">
        <v>13</v>
      </c>
      <c r="L363">
        <v>11</v>
      </c>
    </row>
    <row r="364" spans="1:12">
      <c r="A364" t="s">
        <v>17</v>
      </c>
      <c r="B364" t="s">
        <v>1632</v>
      </c>
      <c r="C364" t="s">
        <v>1633</v>
      </c>
      <c r="D364">
        <v>7</v>
      </c>
      <c r="E364">
        <v>7</v>
      </c>
      <c r="F364">
        <v>93</v>
      </c>
      <c r="G364">
        <v>100</v>
      </c>
      <c r="H364">
        <v>69</v>
      </c>
      <c r="I364">
        <v>-7</v>
      </c>
      <c r="J364">
        <v>145</v>
      </c>
      <c r="K364">
        <v>24.2</v>
      </c>
      <c r="L364">
        <v>409</v>
      </c>
    </row>
    <row r="365" spans="1:12">
      <c r="A365" t="s">
        <v>17</v>
      </c>
      <c r="B365" t="s">
        <v>1634</v>
      </c>
      <c r="C365" t="s">
        <v>150</v>
      </c>
      <c r="D365">
        <v>7</v>
      </c>
      <c r="E365">
        <v>7</v>
      </c>
      <c r="F365">
        <v>73</v>
      </c>
      <c r="G365">
        <v>24</v>
      </c>
      <c r="H365">
        <v>24</v>
      </c>
      <c r="I365">
        <v>49</v>
      </c>
      <c r="J365">
        <v>238</v>
      </c>
      <c r="K365">
        <v>39.700000000000003</v>
      </c>
      <c r="L365">
        <v>37</v>
      </c>
    </row>
    <row r="366" spans="1:12">
      <c r="A366" t="s">
        <v>17</v>
      </c>
      <c r="B366" t="s">
        <v>1635</v>
      </c>
      <c r="C366" t="s">
        <v>1636</v>
      </c>
      <c r="D366">
        <v>7</v>
      </c>
      <c r="E366">
        <v>7</v>
      </c>
      <c r="F366">
        <v>58</v>
      </c>
      <c r="G366">
        <v>54</v>
      </c>
      <c r="H366">
        <v>35</v>
      </c>
      <c r="I366">
        <v>4</v>
      </c>
      <c r="J366">
        <v>83</v>
      </c>
      <c r="K366">
        <v>13.8</v>
      </c>
      <c r="L366">
        <v>6</v>
      </c>
    </row>
    <row r="367" spans="1:12">
      <c r="A367" t="s">
        <v>608</v>
      </c>
      <c r="B367" t="s">
        <v>1637</v>
      </c>
      <c r="C367" t="s">
        <v>1638</v>
      </c>
      <c r="D367">
        <v>6</v>
      </c>
      <c r="E367">
        <v>4</v>
      </c>
      <c r="F367">
        <v>98</v>
      </c>
      <c r="G367">
        <v>99</v>
      </c>
      <c r="H367">
        <v>94</v>
      </c>
      <c r="I367">
        <v>-1</v>
      </c>
      <c r="J367">
        <v>105</v>
      </c>
      <c r="K367">
        <v>21</v>
      </c>
      <c r="L367">
        <v>20</v>
      </c>
    </row>
    <row r="368" spans="1:12">
      <c r="A368" t="s">
        <v>608</v>
      </c>
      <c r="B368" t="s">
        <v>891</v>
      </c>
      <c r="C368" t="s">
        <v>894</v>
      </c>
      <c r="D368">
        <v>6</v>
      </c>
      <c r="E368">
        <v>5</v>
      </c>
      <c r="F368">
        <v>70</v>
      </c>
      <c r="G368">
        <v>49</v>
      </c>
      <c r="H368">
        <v>48</v>
      </c>
      <c r="I368">
        <v>21</v>
      </c>
      <c r="J368">
        <v>98</v>
      </c>
      <c r="K368">
        <v>19.600000000000001</v>
      </c>
      <c r="L368">
        <v>9</v>
      </c>
    </row>
    <row r="369" spans="1:12">
      <c r="A369" t="s">
        <v>608</v>
      </c>
      <c r="B369" t="s">
        <v>1639</v>
      </c>
      <c r="C369" t="s">
        <v>1640</v>
      </c>
      <c r="D369">
        <v>6</v>
      </c>
      <c r="E369">
        <v>4</v>
      </c>
      <c r="F369">
        <v>97</v>
      </c>
      <c r="G369">
        <v>100</v>
      </c>
      <c r="H369">
        <v>87</v>
      </c>
      <c r="I369">
        <v>-3</v>
      </c>
      <c r="J369">
        <v>87</v>
      </c>
      <c r="K369">
        <v>17.399999999999999</v>
      </c>
      <c r="L369">
        <v>10</v>
      </c>
    </row>
    <row r="370" spans="1:12">
      <c r="A370" t="s">
        <v>17</v>
      </c>
      <c r="B370" t="s">
        <v>1641</v>
      </c>
      <c r="C370" t="s">
        <v>1642</v>
      </c>
      <c r="D370">
        <v>6</v>
      </c>
      <c r="E370">
        <v>5</v>
      </c>
      <c r="F370">
        <v>87</v>
      </c>
      <c r="G370">
        <v>93</v>
      </c>
      <c r="H370">
        <v>54</v>
      </c>
      <c r="I370">
        <v>-6</v>
      </c>
      <c r="J370">
        <v>47</v>
      </c>
      <c r="K370">
        <v>9.4</v>
      </c>
      <c r="L370">
        <v>6</v>
      </c>
    </row>
    <row r="371" spans="1:12">
      <c r="A371" t="s">
        <v>608</v>
      </c>
      <c r="B371" t="s">
        <v>1643</v>
      </c>
      <c r="C371" t="s">
        <v>1644</v>
      </c>
      <c r="D371">
        <v>6</v>
      </c>
      <c r="E371">
        <v>3</v>
      </c>
      <c r="F371">
        <v>48</v>
      </c>
      <c r="G371">
        <v>73</v>
      </c>
      <c r="H371">
        <v>48</v>
      </c>
      <c r="I371">
        <v>-25</v>
      </c>
      <c r="J371">
        <v>140</v>
      </c>
      <c r="K371">
        <v>28</v>
      </c>
      <c r="L371">
        <v>18</v>
      </c>
    </row>
    <row r="372" spans="1:12">
      <c r="A372" t="s">
        <v>608</v>
      </c>
      <c r="B372" t="s">
        <v>920</v>
      </c>
      <c r="C372" t="s">
        <v>924</v>
      </c>
      <c r="D372">
        <v>6</v>
      </c>
      <c r="E372">
        <v>5</v>
      </c>
      <c r="F372">
        <v>68</v>
      </c>
      <c r="G372">
        <v>54</v>
      </c>
      <c r="H372">
        <v>47</v>
      </c>
      <c r="I372">
        <v>14</v>
      </c>
      <c r="J372">
        <v>213</v>
      </c>
      <c r="K372">
        <v>42.6</v>
      </c>
      <c r="L372">
        <v>9</v>
      </c>
    </row>
    <row r="373" spans="1:12">
      <c r="A373" t="s">
        <v>17</v>
      </c>
      <c r="B373" t="s">
        <v>475</v>
      </c>
      <c r="C373" t="s">
        <v>478</v>
      </c>
      <c r="D373">
        <v>6</v>
      </c>
      <c r="E373">
        <v>4</v>
      </c>
      <c r="F373">
        <v>93</v>
      </c>
      <c r="G373">
        <v>78</v>
      </c>
      <c r="H373">
        <v>78</v>
      </c>
      <c r="I373">
        <v>15</v>
      </c>
      <c r="J373">
        <v>73</v>
      </c>
      <c r="K373">
        <v>14.6</v>
      </c>
      <c r="L373">
        <v>6</v>
      </c>
    </row>
    <row r="374" spans="1:12">
      <c r="A374" t="s">
        <v>17</v>
      </c>
      <c r="B374" t="s">
        <v>1645</v>
      </c>
      <c r="C374" t="s">
        <v>1646</v>
      </c>
      <c r="D374">
        <v>6</v>
      </c>
      <c r="E374">
        <v>5</v>
      </c>
      <c r="F374">
        <v>84</v>
      </c>
      <c r="G374">
        <v>100</v>
      </c>
      <c r="H374">
        <v>78</v>
      </c>
      <c r="I374">
        <v>-16</v>
      </c>
      <c r="J374">
        <v>34</v>
      </c>
      <c r="K374">
        <v>6.8</v>
      </c>
      <c r="L374">
        <v>197</v>
      </c>
    </row>
    <row r="375" spans="1:12">
      <c r="A375" t="s">
        <v>17</v>
      </c>
      <c r="B375" t="s">
        <v>1647</v>
      </c>
      <c r="C375" t="s">
        <v>1648</v>
      </c>
      <c r="D375">
        <v>6</v>
      </c>
      <c r="E375">
        <v>6</v>
      </c>
      <c r="F375">
        <v>96</v>
      </c>
      <c r="G375">
        <v>95</v>
      </c>
      <c r="H375">
        <v>68</v>
      </c>
      <c r="I375">
        <v>1</v>
      </c>
      <c r="J375">
        <v>0</v>
      </c>
      <c r="K375">
        <v>0</v>
      </c>
      <c r="L375">
        <v>6</v>
      </c>
    </row>
    <row r="376" spans="1:12">
      <c r="A376" t="s">
        <v>17</v>
      </c>
      <c r="B376" t="s">
        <v>1649</v>
      </c>
      <c r="C376" t="s">
        <v>1650</v>
      </c>
      <c r="D376">
        <v>6</v>
      </c>
      <c r="E376">
        <v>6</v>
      </c>
      <c r="F376">
        <v>95</v>
      </c>
      <c r="G376">
        <v>87</v>
      </c>
      <c r="H376">
        <v>68</v>
      </c>
      <c r="I376">
        <v>8</v>
      </c>
      <c r="J376">
        <v>43</v>
      </c>
      <c r="K376">
        <v>8.6</v>
      </c>
      <c r="L376">
        <v>5</v>
      </c>
    </row>
    <row r="377" spans="1:12">
      <c r="A377" t="s">
        <v>608</v>
      </c>
      <c r="B377" t="s">
        <v>1651</v>
      </c>
      <c r="C377" t="s">
        <v>1652</v>
      </c>
      <c r="D377">
        <v>6</v>
      </c>
      <c r="E377">
        <v>3</v>
      </c>
      <c r="F377">
        <v>62</v>
      </c>
      <c r="G377">
        <v>80</v>
      </c>
      <c r="H377">
        <v>62</v>
      </c>
      <c r="I377">
        <v>-18</v>
      </c>
      <c r="J377">
        <v>76</v>
      </c>
      <c r="K377">
        <v>15.2</v>
      </c>
      <c r="L377">
        <v>13</v>
      </c>
    </row>
    <row r="378" spans="1:12">
      <c r="A378" t="s">
        <v>17</v>
      </c>
      <c r="B378" t="s">
        <v>1653</v>
      </c>
      <c r="C378" t="s">
        <v>1654</v>
      </c>
      <c r="D378">
        <v>6</v>
      </c>
      <c r="E378">
        <v>6</v>
      </c>
      <c r="F378">
        <v>78</v>
      </c>
      <c r="G378">
        <v>46</v>
      </c>
      <c r="H378">
        <v>46</v>
      </c>
      <c r="I378">
        <v>32</v>
      </c>
      <c r="J378">
        <v>48</v>
      </c>
      <c r="K378">
        <v>9.6</v>
      </c>
      <c r="L378">
        <v>7</v>
      </c>
    </row>
    <row r="379" spans="1:12">
      <c r="A379" t="s">
        <v>608</v>
      </c>
      <c r="B379" t="s">
        <v>1655</v>
      </c>
      <c r="C379" t="s">
        <v>1656</v>
      </c>
      <c r="D379">
        <v>6</v>
      </c>
      <c r="E379">
        <v>5</v>
      </c>
      <c r="F379">
        <v>100</v>
      </c>
      <c r="G379">
        <v>15</v>
      </c>
      <c r="H379">
        <v>15</v>
      </c>
      <c r="I379">
        <v>85</v>
      </c>
      <c r="J379">
        <v>4187</v>
      </c>
      <c r="K379">
        <v>837.4</v>
      </c>
      <c r="L379">
        <v>6</v>
      </c>
    </row>
    <row r="380" spans="1:12">
      <c r="A380" t="s">
        <v>608</v>
      </c>
      <c r="B380" t="s">
        <v>685</v>
      </c>
      <c r="C380" t="s">
        <v>689</v>
      </c>
      <c r="D380">
        <v>6</v>
      </c>
      <c r="E380">
        <v>5</v>
      </c>
      <c r="F380">
        <v>56</v>
      </c>
      <c r="G380">
        <v>14</v>
      </c>
      <c r="H380">
        <v>14</v>
      </c>
      <c r="I380">
        <v>42</v>
      </c>
      <c r="J380">
        <v>96</v>
      </c>
      <c r="K380">
        <v>19.2</v>
      </c>
      <c r="L380">
        <v>1007</v>
      </c>
    </row>
    <row r="381" spans="1:12">
      <c r="A381" t="s">
        <v>608</v>
      </c>
      <c r="B381" t="s">
        <v>649</v>
      </c>
      <c r="C381" t="s">
        <v>653</v>
      </c>
      <c r="D381">
        <v>6</v>
      </c>
      <c r="E381">
        <v>5</v>
      </c>
      <c r="F381">
        <v>44</v>
      </c>
      <c r="G381">
        <v>8</v>
      </c>
      <c r="H381">
        <v>8</v>
      </c>
      <c r="I381">
        <v>36</v>
      </c>
      <c r="J381">
        <v>766</v>
      </c>
      <c r="K381">
        <v>153.19999999999999</v>
      </c>
      <c r="L381">
        <v>6</v>
      </c>
    </row>
    <row r="382" spans="1:12">
      <c r="A382" t="s">
        <v>17</v>
      </c>
      <c r="B382" t="s">
        <v>1657</v>
      </c>
      <c r="C382" t="s">
        <v>1658</v>
      </c>
      <c r="D382">
        <v>6</v>
      </c>
      <c r="E382">
        <v>6</v>
      </c>
      <c r="F382">
        <v>96</v>
      </c>
      <c r="G382">
        <v>88</v>
      </c>
      <c r="H382">
        <v>83</v>
      </c>
      <c r="I382">
        <v>8</v>
      </c>
      <c r="J382">
        <v>63</v>
      </c>
      <c r="K382">
        <v>12.6</v>
      </c>
      <c r="L382">
        <v>381</v>
      </c>
    </row>
    <row r="383" spans="1:12">
      <c r="A383" t="s">
        <v>608</v>
      </c>
      <c r="B383" t="s">
        <v>1659</v>
      </c>
      <c r="C383" t="s">
        <v>1660</v>
      </c>
      <c r="D383">
        <v>6</v>
      </c>
      <c r="E383">
        <v>6</v>
      </c>
      <c r="F383">
        <v>89</v>
      </c>
      <c r="G383">
        <v>94</v>
      </c>
      <c r="H383">
        <v>69</v>
      </c>
      <c r="I383">
        <v>-5</v>
      </c>
      <c r="J383">
        <v>63</v>
      </c>
      <c r="K383">
        <v>12.6</v>
      </c>
      <c r="L383">
        <v>9</v>
      </c>
    </row>
    <row r="384" spans="1:12">
      <c r="A384" t="s">
        <v>608</v>
      </c>
      <c r="B384" t="s">
        <v>1661</v>
      </c>
      <c r="C384" t="s">
        <v>1662</v>
      </c>
      <c r="D384">
        <v>6</v>
      </c>
      <c r="E384">
        <v>3</v>
      </c>
      <c r="F384">
        <v>72</v>
      </c>
      <c r="G384">
        <v>98</v>
      </c>
      <c r="H384">
        <v>72</v>
      </c>
      <c r="I384">
        <v>-26</v>
      </c>
      <c r="J384">
        <v>33</v>
      </c>
      <c r="K384">
        <v>6.6</v>
      </c>
      <c r="L384">
        <v>332</v>
      </c>
    </row>
    <row r="385" spans="1:12">
      <c r="A385" t="s">
        <v>608</v>
      </c>
      <c r="B385" t="s">
        <v>1663</v>
      </c>
      <c r="C385" t="s">
        <v>1664</v>
      </c>
      <c r="D385">
        <v>6</v>
      </c>
      <c r="E385">
        <v>3</v>
      </c>
      <c r="F385">
        <v>37</v>
      </c>
      <c r="G385">
        <v>81</v>
      </c>
      <c r="H385">
        <v>37</v>
      </c>
      <c r="I385">
        <v>-44</v>
      </c>
      <c r="J385">
        <v>56</v>
      </c>
      <c r="K385">
        <v>11.2</v>
      </c>
      <c r="L385">
        <v>60</v>
      </c>
    </row>
    <row r="386" spans="1:12">
      <c r="A386" t="s">
        <v>608</v>
      </c>
      <c r="B386" t="s">
        <v>1665</v>
      </c>
      <c r="C386" t="s">
        <v>1666</v>
      </c>
      <c r="D386">
        <v>6</v>
      </c>
      <c r="E386">
        <v>5</v>
      </c>
      <c r="F386">
        <v>83</v>
      </c>
      <c r="G386">
        <v>53</v>
      </c>
      <c r="H386">
        <v>53</v>
      </c>
      <c r="I386">
        <v>30</v>
      </c>
      <c r="J386">
        <v>59</v>
      </c>
      <c r="K386">
        <v>11.8</v>
      </c>
      <c r="L386">
        <v>6</v>
      </c>
    </row>
    <row r="387" spans="1:12">
      <c r="A387" t="s">
        <v>608</v>
      </c>
      <c r="B387" t="s">
        <v>1667</v>
      </c>
      <c r="C387" t="s">
        <v>1668</v>
      </c>
      <c r="D387">
        <v>6</v>
      </c>
      <c r="E387">
        <v>4</v>
      </c>
      <c r="F387">
        <v>67</v>
      </c>
      <c r="G387">
        <v>85</v>
      </c>
      <c r="H387">
        <v>52</v>
      </c>
      <c r="I387">
        <v>-18</v>
      </c>
      <c r="J387">
        <v>102</v>
      </c>
      <c r="K387">
        <v>20.399999999999999</v>
      </c>
      <c r="L387">
        <v>8</v>
      </c>
    </row>
    <row r="388" spans="1:12">
      <c r="A388" t="s">
        <v>17</v>
      </c>
      <c r="B388" t="s">
        <v>1669</v>
      </c>
      <c r="C388" t="s">
        <v>1670</v>
      </c>
      <c r="D388">
        <v>6</v>
      </c>
      <c r="E388">
        <v>6</v>
      </c>
      <c r="F388">
        <v>67</v>
      </c>
      <c r="G388">
        <v>86</v>
      </c>
      <c r="H388">
        <v>39</v>
      </c>
      <c r="I388">
        <v>-19</v>
      </c>
      <c r="J388">
        <v>71</v>
      </c>
      <c r="K388">
        <v>14.2</v>
      </c>
      <c r="L388">
        <v>7</v>
      </c>
    </row>
    <row r="389" spans="1:12">
      <c r="A389" t="s">
        <v>17</v>
      </c>
      <c r="B389" t="s">
        <v>1671</v>
      </c>
      <c r="C389" t="s">
        <v>1672</v>
      </c>
      <c r="D389">
        <v>6</v>
      </c>
      <c r="E389">
        <v>3</v>
      </c>
      <c r="F389">
        <v>77</v>
      </c>
      <c r="G389">
        <v>55</v>
      </c>
      <c r="H389">
        <v>47</v>
      </c>
      <c r="I389">
        <v>22</v>
      </c>
      <c r="J389">
        <v>49</v>
      </c>
      <c r="K389">
        <v>9.8000000000000007</v>
      </c>
      <c r="L389">
        <v>7</v>
      </c>
    </row>
    <row r="390" spans="1:12">
      <c r="A390" t="s">
        <v>17</v>
      </c>
      <c r="B390" t="s">
        <v>216</v>
      </c>
      <c r="C390" t="s">
        <v>220</v>
      </c>
      <c r="D390">
        <v>6</v>
      </c>
      <c r="E390">
        <v>5</v>
      </c>
      <c r="F390">
        <v>78</v>
      </c>
      <c r="G390">
        <v>34</v>
      </c>
      <c r="H390">
        <v>34</v>
      </c>
      <c r="I390">
        <v>44</v>
      </c>
      <c r="J390">
        <v>117</v>
      </c>
      <c r="K390">
        <v>23.4</v>
      </c>
      <c r="L390">
        <v>13</v>
      </c>
    </row>
    <row r="391" spans="1:12">
      <c r="A391" t="s">
        <v>608</v>
      </c>
      <c r="B391" t="s">
        <v>1673</v>
      </c>
      <c r="C391" t="s">
        <v>1674</v>
      </c>
      <c r="D391">
        <v>6</v>
      </c>
      <c r="E391">
        <v>4</v>
      </c>
      <c r="F391">
        <v>87</v>
      </c>
      <c r="G391">
        <v>95</v>
      </c>
      <c r="H391">
        <v>84</v>
      </c>
      <c r="I391">
        <v>-8</v>
      </c>
      <c r="J391">
        <v>72</v>
      </c>
      <c r="K391">
        <v>14.4</v>
      </c>
      <c r="L391">
        <v>12</v>
      </c>
    </row>
    <row r="392" spans="1:12">
      <c r="A392" t="s">
        <v>608</v>
      </c>
      <c r="B392" t="s">
        <v>1675</v>
      </c>
      <c r="C392" t="s">
        <v>1676</v>
      </c>
      <c r="D392">
        <v>6</v>
      </c>
      <c r="E392">
        <v>3</v>
      </c>
      <c r="F392">
        <v>97</v>
      </c>
      <c r="G392">
        <v>97</v>
      </c>
      <c r="H392">
        <v>94</v>
      </c>
      <c r="I392">
        <v>0</v>
      </c>
      <c r="J392">
        <v>75</v>
      </c>
      <c r="K392">
        <v>15</v>
      </c>
      <c r="L392">
        <v>415</v>
      </c>
    </row>
    <row r="393" spans="1:12">
      <c r="A393" t="s">
        <v>17</v>
      </c>
      <c r="B393" t="s">
        <v>287</v>
      </c>
      <c r="C393" t="s">
        <v>291</v>
      </c>
      <c r="D393">
        <v>6</v>
      </c>
      <c r="E393">
        <v>5</v>
      </c>
      <c r="F393">
        <v>94</v>
      </c>
      <c r="G393">
        <v>46</v>
      </c>
      <c r="H393">
        <v>45</v>
      </c>
      <c r="I393">
        <v>48</v>
      </c>
      <c r="J393">
        <v>135</v>
      </c>
      <c r="K393">
        <v>27</v>
      </c>
      <c r="L393">
        <v>9</v>
      </c>
    </row>
    <row r="394" spans="1:12">
      <c r="A394" t="s">
        <v>608</v>
      </c>
      <c r="B394" t="s">
        <v>1677</v>
      </c>
      <c r="C394" t="s">
        <v>1678</v>
      </c>
      <c r="D394">
        <v>6</v>
      </c>
      <c r="E394">
        <v>5</v>
      </c>
      <c r="F394">
        <v>96</v>
      </c>
      <c r="G394">
        <v>81</v>
      </c>
      <c r="H394">
        <v>78</v>
      </c>
      <c r="I394">
        <v>15</v>
      </c>
      <c r="J394">
        <v>74</v>
      </c>
      <c r="K394">
        <v>14.8</v>
      </c>
      <c r="L394">
        <v>96</v>
      </c>
    </row>
    <row r="395" spans="1:12">
      <c r="A395" t="s">
        <v>608</v>
      </c>
      <c r="B395" t="s">
        <v>661</v>
      </c>
      <c r="C395" t="s">
        <v>665</v>
      </c>
      <c r="D395">
        <v>5</v>
      </c>
      <c r="E395">
        <v>4</v>
      </c>
      <c r="F395">
        <v>75</v>
      </c>
      <c r="G395">
        <v>10</v>
      </c>
      <c r="H395">
        <v>10</v>
      </c>
      <c r="I395">
        <v>65</v>
      </c>
      <c r="J395">
        <v>719</v>
      </c>
      <c r="K395">
        <v>179.8</v>
      </c>
      <c r="L395">
        <v>4</v>
      </c>
    </row>
    <row r="396" spans="1:12">
      <c r="A396" t="s">
        <v>608</v>
      </c>
      <c r="B396" t="s">
        <v>1679</v>
      </c>
      <c r="C396" t="s">
        <v>1680</v>
      </c>
      <c r="D396">
        <v>5</v>
      </c>
      <c r="E396">
        <v>5</v>
      </c>
      <c r="F396">
        <v>95</v>
      </c>
      <c r="G396">
        <v>86</v>
      </c>
      <c r="H396">
        <v>82</v>
      </c>
      <c r="I396">
        <v>9</v>
      </c>
      <c r="J396">
        <v>51</v>
      </c>
      <c r="K396">
        <v>12.8</v>
      </c>
      <c r="L396">
        <v>1025</v>
      </c>
    </row>
    <row r="397" spans="1:12">
      <c r="A397" t="s">
        <v>608</v>
      </c>
      <c r="B397" t="s">
        <v>1681</v>
      </c>
      <c r="C397" t="s">
        <v>1682</v>
      </c>
      <c r="D397">
        <v>5</v>
      </c>
      <c r="E397">
        <v>4</v>
      </c>
      <c r="F397">
        <v>100</v>
      </c>
      <c r="G397">
        <v>82</v>
      </c>
      <c r="H397">
        <v>82</v>
      </c>
      <c r="I397">
        <v>18</v>
      </c>
      <c r="J397">
        <v>12</v>
      </c>
      <c r="K397">
        <v>3</v>
      </c>
      <c r="L397">
        <v>744</v>
      </c>
    </row>
    <row r="398" spans="1:12">
      <c r="A398" t="s">
        <v>608</v>
      </c>
      <c r="B398" t="s">
        <v>1683</v>
      </c>
      <c r="C398" t="s">
        <v>1684</v>
      </c>
      <c r="D398">
        <v>5</v>
      </c>
      <c r="E398">
        <v>4</v>
      </c>
      <c r="F398">
        <v>91</v>
      </c>
      <c r="G398">
        <v>80</v>
      </c>
      <c r="H398">
        <v>76</v>
      </c>
      <c r="I398">
        <v>11</v>
      </c>
      <c r="J398">
        <v>47</v>
      </c>
      <c r="K398">
        <v>11.8</v>
      </c>
      <c r="L398">
        <v>8</v>
      </c>
    </row>
    <row r="399" spans="1:12">
      <c r="A399" t="s">
        <v>608</v>
      </c>
      <c r="B399" t="s">
        <v>1685</v>
      </c>
      <c r="C399" t="s">
        <v>1686</v>
      </c>
      <c r="D399">
        <v>5</v>
      </c>
      <c r="E399">
        <v>2</v>
      </c>
      <c r="F399">
        <v>77</v>
      </c>
      <c r="G399">
        <v>100</v>
      </c>
      <c r="H399">
        <v>77</v>
      </c>
      <c r="I399">
        <v>-23</v>
      </c>
      <c r="J399">
        <v>37</v>
      </c>
      <c r="K399">
        <v>9.1999999999999993</v>
      </c>
      <c r="L399">
        <v>14</v>
      </c>
    </row>
    <row r="400" spans="1:12">
      <c r="A400" t="s">
        <v>608</v>
      </c>
      <c r="B400" t="s">
        <v>1057</v>
      </c>
      <c r="C400" t="s">
        <v>1060</v>
      </c>
      <c r="D400">
        <v>5</v>
      </c>
      <c r="E400">
        <v>4</v>
      </c>
      <c r="F400">
        <v>91</v>
      </c>
      <c r="G400">
        <v>78</v>
      </c>
      <c r="H400">
        <v>78</v>
      </c>
      <c r="I400">
        <v>13</v>
      </c>
      <c r="J400">
        <v>57</v>
      </c>
      <c r="K400">
        <v>14.2</v>
      </c>
      <c r="L400">
        <v>15</v>
      </c>
    </row>
    <row r="401" spans="1:12">
      <c r="A401" t="s">
        <v>608</v>
      </c>
      <c r="B401" t="s">
        <v>1687</v>
      </c>
      <c r="C401" t="s">
        <v>1688</v>
      </c>
      <c r="D401">
        <v>5</v>
      </c>
      <c r="E401">
        <v>5</v>
      </c>
      <c r="F401">
        <v>95</v>
      </c>
      <c r="G401">
        <v>77</v>
      </c>
      <c r="H401">
        <v>77</v>
      </c>
      <c r="I401">
        <v>18</v>
      </c>
      <c r="J401">
        <v>63</v>
      </c>
      <c r="K401">
        <v>15.8</v>
      </c>
      <c r="L401">
        <v>40</v>
      </c>
    </row>
    <row r="402" spans="1:12">
      <c r="A402" t="s">
        <v>608</v>
      </c>
      <c r="B402" t="s">
        <v>750</v>
      </c>
      <c r="C402" t="s">
        <v>754</v>
      </c>
      <c r="D402">
        <v>5</v>
      </c>
      <c r="E402">
        <v>4</v>
      </c>
      <c r="F402">
        <v>58</v>
      </c>
      <c r="G402">
        <v>25</v>
      </c>
      <c r="H402">
        <v>25</v>
      </c>
      <c r="I402">
        <v>33</v>
      </c>
      <c r="J402">
        <v>258</v>
      </c>
      <c r="K402">
        <v>64.5</v>
      </c>
      <c r="L402">
        <v>5</v>
      </c>
    </row>
    <row r="403" spans="1:12">
      <c r="A403" t="s">
        <v>17</v>
      </c>
      <c r="B403" t="s">
        <v>1689</v>
      </c>
      <c r="C403" t="s">
        <v>1690</v>
      </c>
      <c r="D403">
        <v>5</v>
      </c>
      <c r="E403">
        <v>2</v>
      </c>
      <c r="F403">
        <v>71</v>
      </c>
      <c r="G403">
        <v>97</v>
      </c>
      <c r="H403">
        <v>71</v>
      </c>
      <c r="I403">
        <v>-26</v>
      </c>
      <c r="J403">
        <v>65</v>
      </c>
      <c r="K403">
        <v>16.2</v>
      </c>
      <c r="L403">
        <v>21</v>
      </c>
    </row>
    <row r="404" spans="1:12">
      <c r="A404" t="s">
        <v>17</v>
      </c>
      <c r="B404" t="s">
        <v>1691</v>
      </c>
      <c r="C404" t="s">
        <v>1692</v>
      </c>
      <c r="D404">
        <v>5</v>
      </c>
      <c r="E404">
        <v>5</v>
      </c>
      <c r="F404">
        <v>80</v>
      </c>
      <c r="G404">
        <v>92</v>
      </c>
      <c r="H404">
        <v>77</v>
      </c>
      <c r="I404">
        <v>-12</v>
      </c>
      <c r="J404">
        <v>21</v>
      </c>
      <c r="K404">
        <v>5.2</v>
      </c>
      <c r="L404">
        <v>17</v>
      </c>
    </row>
    <row r="405" spans="1:12">
      <c r="A405" t="s">
        <v>17</v>
      </c>
      <c r="B405" t="s">
        <v>462</v>
      </c>
      <c r="C405" t="s">
        <v>466</v>
      </c>
      <c r="D405">
        <v>5</v>
      </c>
      <c r="E405">
        <v>4</v>
      </c>
      <c r="F405">
        <v>87</v>
      </c>
      <c r="G405">
        <v>76</v>
      </c>
      <c r="H405">
        <v>76</v>
      </c>
      <c r="I405">
        <v>11</v>
      </c>
      <c r="J405">
        <v>91</v>
      </c>
      <c r="K405">
        <v>22.8</v>
      </c>
      <c r="L405">
        <v>159</v>
      </c>
    </row>
    <row r="406" spans="1:12">
      <c r="A406" t="s">
        <v>17</v>
      </c>
      <c r="B406" t="s">
        <v>1693</v>
      </c>
      <c r="C406" t="s">
        <v>1694</v>
      </c>
      <c r="D406">
        <v>5</v>
      </c>
      <c r="E406">
        <v>5</v>
      </c>
      <c r="F406">
        <v>78</v>
      </c>
      <c r="G406">
        <v>75</v>
      </c>
      <c r="H406">
        <v>68</v>
      </c>
      <c r="I406">
        <v>3</v>
      </c>
      <c r="J406">
        <v>38</v>
      </c>
      <c r="K406">
        <v>9.5</v>
      </c>
      <c r="L406">
        <v>606</v>
      </c>
    </row>
    <row r="407" spans="1:12">
      <c r="A407" t="s">
        <v>17</v>
      </c>
      <c r="B407" t="s">
        <v>1695</v>
      </c>
      <c r="C407" t="s">
        <v>1696</v>
      </c>
      <c r="D407">
        <v>5</v>
      </c>
      <c r="E407">
        <v>5</v>
      </c>
      <c r="F407">
        <v>95</v>
      </c>
      <c r="G407">
        <v>67</v>
      </c>
      <c r="H407">
        <v>52</v>
      </c>
      <c r="I407">
        <v>28</v>
      </c>
      <c r="J407">
        <v>25</v>
      </c>
      <c r="K407">
        <v>6.2</v>
      </c>
      <c r="L407">
        <v>7</v>
      </c>
    </row>
    <row r="408" spans="1:12">
      <c r="A408" t="s">
        <v>608</v>
      </c>
      <c r="B408" t="s">
        <v>902</v>
      </c>
      <c r="C408" t="s">
        <v>906</v>
      </c>
      <c r="D408">
        <v>5</v>
      </c>
      <c r="E408">
        <v>4</v>
      </c>
      <c r="F408">
        <v>72</v>
      </c>
      <c r="G408">
        <v>51</v>
      </c>
      <c r="H408">
        <v>44</v>
      </c>
      <c r="I408">
        <v>21</v>
      </c>
      <c r="J408">
        <v>97</v>
      </c>
      <c r="K408">
        <v>24.2</v>
      </c>
      <c r="L408">
        <v>5</v>
      </c>
    </row>
    <row r="409" spans="1:12">
      <c r="A409" t="s">
        <v>17</v>
      </c>
      <c r="B409" t="s">
        <v>1697</v>
      </c>
      <c r="C409" t="s">
        <v>1698</v>
      </c>
      <c r="D409">
        <v>5</v>
      </c>
      <c r="E409">
        <v>2</v>
      </c>
      <c r="F409">
        <v>72</v>
      </c>
      <c r="G409">
        <v>99</v>
      </c>
      <c r="H409">
        <v>72</v>
      </c>
      <c r="I409">
        <v>-27</v>
      </c>
      <c r="J409">
        <v>41</v>
      </c>
      <c r="K409">
        <v>10.199999999999999</v>
      </c>
      <c r="L409">
        <v>25</v>
      </c>
    </row>
    <row r="410" spans="1:12">
      <c r="A410" t="s">
        <v>17</v>
      </c>
      <c r="B410" t="s">
        <v>1699</v>
      </c>
      <c r="C410" t="s">
        <v>1700</v>
      </c>
      <c r="D410">
        <v>5</v>
      </c>
      <c r="E410">
        <v>5</v>
      </c>
      <c r="F410">
        <v>94</v>
      </c>
      <c r="G410">
        <v>76</v>
      </c>
      <c r="H410">
        <v>76</v>
      </c>
      <c r="I410">
        <v>18</v>
      </c>
      <c r="J410">
        <v>34</v>
      </c>
      <c r="K410">
        <v>8.5</v>
      </c>
      <c r="L410">
        <v>9</v>
      </c>
    </row>
    <row r="411" spans="1:12">
      <c r="A411" t="s">
        <v>608</v>
      </c>
      <c r="B411" t="s">
        <v>1701</v>
      </c>
      <c r="C411" t="s">
        <v>1702</v>
      </c>
      <c r="D411">
        <v>5</v>
      </c>
      <c r="E411">
        <v>2</v>
      </c>
      <c r="F411">
        <v>81</v>
      </c>
      <c r="G411">
        <v>98</v>
      </c>
      <c r="H411">
        <v>81</v>
      </c>
      <c r="I411">
        <v>-17</v>
      </c>
      <c r="J411">
        <v>52</v>
      </c>
      <c r="K411">
        <v>13</v>
      </c>
      <c r="L411">
        <v>29</v>
      </c>
    </row>
    <row r="412" spans="1:12">
      <c r="A412" t="s">
        <v>608</v>
      </c>
      <c r="B412" t="s">
        <v>1703</v>
      </c>
      <c r="C412" t="s">
        <v>1704</v>
      </c>
      <c r="D412">
        <v>5</v>
      </c>
      <c r="E412">
        <v>5</v>
      </c>
      <c r="F412">
        <v>83</v>
      </c>
      <c r="G412">
        <v>70</v>
      </c>
      <c r="H412">
        <v>56</v>
      </c>
      <c r="I412">
        <v>13</v>
      </c>
      <c r="J412">
        <v>36</v>
      </c>
      <c r="K412">
        <v>9</v>
      </c>
      <c r="L412">
        <v>7</v>
      </c>
    </row>
    <row r="413" spans="1:12">
      <c r="A413" t="s">
        <v>17</v>
      </c>
      <c r="B413" t="s">
        <v>1705</v>
      </c>
      <c r="C413" t="s">
        <v>1706</v>
      </c>
      <c r="D413">
        <v>5</v>
      </c>
      <c r="E413">
        <v>5</v>
      </c>
      <c r="F413">
        <v>98</v>
      </c>
      <c r="G413">
        <v>93</v>
      </c>
      <c r="H413">
        <v>75</v>
      </c>
      <c r="I413">
        <v>5</v>
      </c>
      <c r="J413">
        <v>38</v>
      </c>
      <c r="K413">
        <v>9.5</v>
      </c>
      <c r="L413">
        <v>2374</v>
      </c>
    </row>
    <row r="414" spans="1:12">
      <c r="A414" t="s">
        <v>608</v>
      </c>
      <c r="B414" t="s">
        <v>1707</v>
      </c>
      <c r="C414" t="s">
        <v>1708</v>
      </c>
      <c r="D414">
        <v>4</v>
      </c>
      <c r="E414">
        <v>3</v>
      </c>
      <c r="F414">
        <v>93</v>
      </c>
      <c r="G414">
        <v>85</v>
      </c>
      <c r="H414">
        <v>85</v>
      </c>
      <c r="I414">
        <v>8</v>
      </c>
      <c r="J414">
        <v>54</v>
      </c>
      <c r="K414">
        <v>18</v>
      </c>
      <c r="L414">
        <v>876</v>
      </c>
    </row>
    <row r="415" spans="1:12">
      <c r="A415" t="s">
        <v>608</v>
      </c>
      <c r="B415" t="s">
        <v>1709</v>
      </c>
      <c r="C415" t="s">
        <v>1710</v>
      </c>
      <c r="D415">
        <v>4</v>
      </c>
      <c r="E415">
        <v>3</v>
      </c>
      <c r="F415">
        <v>99</v>
      </c>
      <c r="G415">
        <v>86</v>
      </c>
      <c r="H415">
        <v>79</v>
      </c>
      <c r="I415">
        <v>13</v>
      </c>
      <c r="J415">
        <v>35</v>
      </c>
      <c r="K415">
        <v>11.7</v>
      </c>
      <c r="L415">
        <v>8</v>
      </c>
    </row>
    <row r="416" spans="1:12">
      <c r="A416" t="s">
        <v>17</v>
      </c>
      <c r="B416" t="s">
        <v>1711</v>
      </c>
      <c r="C416" t="s">
        <v>1712</v>
      </c>
      <c r="D416">
        <v>4</v>
      </c>
      <c r="E416">
        <v>3</v>
      </c>
      <c r="F416">
        <v>100</v>
      </c>
      <c r="G416">
        <v>99</v>
      </c>
      <c r="H416">
        <v>99</v>
      </c>
      <c r="I416">
        <v>1</v>
      </c>
      <c r="J416">
        <v>32</v>
      </c>
      <c r="K416">
        <v>10.7</v>
      </c>
      <c r="L416">
        <v>12</v>
      </c>
    </row>
    <row r="417" spans="1:12">
      <c r="A417" t="s">
        <v>17</v>
      </c>
      <c r="B417" t="s">
        <v>116</v>
      </c>
      <c r="C417" t="s">
        <v>120</v>
      </c>
      <c r="D417">
        <v>4</v>
      </c>
      <c r="E417">
        <v>3</v>
      </c>
      <c r="F417">
        <v>71</v>
      </c>
      <c r="G417">
        <v>17</v>
      </c>
      <c r="H417">
        <v>17</v>
      </c>
      <c r="I417">
        <v>54</v>
      </c>
      <c r="J417">
        <v>195</v>
      </c>
      <c r="K417">
        <v>65</v>
      </c>
      <c r="L417">
        <v>7</v>
      </c>
    </row>
    <row r="418" spans="1:12">
      <c r="A418" t="s">
        <v>608</v>
      </c>
      <c r="B418" t="s">
        <v>1713</v>
      </c>
      <c r="C418" t="s">
        <v>1714</v>
      </c>
      <c r="D418">
        <v>4</v>
      </c>
      <c r="E418">
        <v>4</v>
      </c>
      <c r="F418">
        <v>91</v>
      </c>
      <c r="G418">
        <v>100</v>
      </c>
      <c r="H418">
        <v>90</v>
      </c>
      <c r="I418">
        <v>-9</v>
      </c>
      <c r="J418">
        <v>52</v>
      </c>
      <c r="K418">
        <v>17.3</v>
      </c>
      <c r="L418">
        <v>64</v>
      </c>
    </row>
    <row r="419" spans="1:12">
      <c r="A419" t="s">
        <v>17</v>
      </c>
      <c r="B419" t="s">
        <v>146</v>
      </c>
      <c r="C419" t="s">
        <v>150</v>
      </c>
      <c r="D419">
        <v>4</v>
      </c>
      <c r="E419">
        <v>3</v>
      </c>
      <c r="F419">
        <v>68</v>
      </c>
      <c r="G419">
        <v>22</v>
      </c>
      <c r="H419">
        <v>22</v>
      </c>
      <c r="I419">
        <v>46</v>
      </c>
      <c r="J419">
        <v>139</v>
      </c>
      <c r="K419">
        <v>46.3</v>
      </c>
      <c r="L419">
        <v>8</v>
      </c>
    </row>
    <row r="420" spans="1:12">
      <c r="A420" t="s">
        <v>608</v>
      </c>
      <c r="B420" t="s">
        <v>1062</v>
      </c>
      <c r="C420" t="s">
        <v>1066</v>
      </c>
      <c r="D420">
        <v>3</v>
      </c>
      <c r="E420">
        <v>3</v>
      </c>
      <c r="F420">
        <v>79</v>
      </c>
      <c r="G420">
        <v>79</v>
      </c>
      <c r="H420">
        <v>77</v>
      </c>
      <c r="I420">
        <v>0</v>
      </c>
      <c r="J420">
        <v>37</v>
      </c>
      <c r="K420">
        <v>18.5</v>
      </c>
      <c r="L420">
        <v>20</v>
      </c>
    </row>
    <row r="421" spans="1:12">
      <c r="A421" t="s">
        <v>608</v>
      </c>
      <c r="B421" t="s">
        <v>1715</v>
      </c>
      <c r="C421" t="s">
        <v>1716</v>
      </c>
      <c r="D421">
        <v>3</v>
      </c>
      <c r="E421">
        <v>2</v>
      </c>
      <c r="F421">
        <v>96</v>
      </c>
      <c r="G421">
        <v>92</v>
      </c>
      <c r="H421">
        <v>92</v>
      </c>
      <c r="I421">
        <v>4</v>
      </c>
      <c r="J421">
        <v>19</v>
      </c>
      <c r="K421">
        <v>9.5</v>
      </c>
      <c r="L421">
        <v>11</v>
      </c>
    </row>
    <row r="422" spans="1:12">
      <c r="A422" t="s">
        <v>17</v>
      </c>
      <c r="B422" t="s">
        <v>1717</v>
      </c>
      <c r="C422" t="s">
        <v>1718</v>
      </c>
      <c r="D422">
        <v>3</v>
      </c>
      <c r="E422">
        <v>3</v>
      </c>
      <c r="F422">
        <v>93</v>
      </c>
      <c r="G422">
        <v>92</v>
      </c>
      <c r="H422">
        <v>92</v>
      </c>
      <c r="I422">
        <v>1</v>
      </c>
      <c r="J422">
        <v>11</v>
      </c>
      <c r="K422">
        <v>5.5</v>
      </c>
      <c r="L422">
        <v>142</v>
      </c>
    </row>
    <row r="423" spans="1:12">
      <c r="A423" t="s">
        <v>608</v>
      </c>
      <c r="B423" t="s">
        <v>983</v>
      </c>
      <c r="C423" t="s">
        <v>987</v>
      </c>
      <c r="D423">
        <v>3</v>
      </c>
      <c r="E423">
        <v>3</v>
      </c>
      <c r="F423">
        <v>77</v>
      </c>
      <c r="G423">
        <v>65</v>
      </c>
      <c r="H423">
        <v>65</v>
      </c>
      <c r="I423">
        <v>12</v>
      </c>
      <c r="J423">
        <v>75</v>
      </c>
      <c r="K423">
        <v>37.5</v>
      </c>
      <c r="L423">
        <v>26</v>
      </c>
    </row>
    <row r="424" spans="1:12">
      <c r="A424" t="s">
        <v>608</v>
      </c>
      <c r="B424" t="s">
        <v>844</v>
      </c>
      <c r="C424" t="s">
        <v>848</v>
      </c>
      <c r="D424">
        <v>3</v>
      </c>
      <c r="E424">
        <v>3</v>
      </c>
      <c r="F424">
        <v>59</v>
      </c>
      <c r="G424">
        <v>41</v>
      </c>
      <c r="H424">
        <v>41</v>
      </c>
      <c r="I424">
        <v>18</v>
      </c>
      <c r="J424">
        <v>70</v>
      </c>
      <c r="K424">
        <v>35</v>
      </c>
      <c r="L424">
        <v>5</v>
      </c>
    </row>
    <row r="425" spans="1:12">
      <c r="A425" t="s">
        <v>17</v>
      </c>
      <c r="B425" t="s">
        <v>1719</v>
      </c>
      <c r="C425" t="s">
        <v>1720</v>
      </c>
      <c r="D425">
        <v>3</v>
      </c>
      <c r="E425">
        <v>3</v>
      </c>
      <c r="F425">
        <v>98</v>
      </c>
      <c r="G425">
        <v>79</v>
      </c>
      <c r="H425">
        <v>79</v>
      </c>
      <c r="I425">
        <v>19</v>
      </c>
      <c r="J425">
        <v>3</v>
      </c>
      <c r="K425">
        <v>1.5</v>
      </c>
      <c r="L425">
        <v>5</v>
      </c>
    </row>
    <row r="426" spans="1:12">
      <c r="A426" t="s">
        <v>17</v>
      </c>
      <c r="B426" t="s">
        <v>1721</v>
      </c>
      <c r="C426" t="s">
        <v>1722</v>
      </c>
      <c r="D426">
        <v>3</v>
      </c>
      <c r="E426">
        <v>3</v>
      </c>
      <c r="F426">
        <v>72</v>
      </c>
      <c r="G426">
        <v>57</v>
      </c>
      <c r="H426">
        <v>57</v>
      </c>
      <c r="I426">
        <v>15</v>
      </c>
      <c r="J426">
        <v>17</v>
      </c>
      <c r="K426">
        <v>8.5</v>
      </c>
      <c r="L426">
        <v>7</v>
      </c>
    </row>
    <row r="427" spans="1:12">
      <c r="A427" t="s">
        <v>608</v>
      </c>
      <c r="B427" t="s">
        <v>856</v>
      </c>
      <c r="C427" t="s">
        <v>860</v>
      </c>
      <c r="D427">
        <v>3</v>
      </c>
      <c r="E427">
        <v>3</v>
      </c>
      <c r="F427">
        <v>60</v>
      </c>
      <c r="G427">
        <v>43</v>
      </c>
      <c r="H427">
        <v>43</v>
      </c>
      <c r="I427">
        <v>17</v>
      </c>
      <c r="J427">
        <v>125</v>
      </c>
      <c r="K427">
        <v>62.5</v>
      </c>
      <c r="L427">
        <v>15</v>
      </c>
    </row>
    <row r="428" spans="1:12">
      <c r="A428" t="s">
        <v>608</v>
      </c>
      <c r="B428" t="s">
        <v>1723</v>
      </c>
      <c r="C428" t="s">
        <v>1724</v>
      </c>
      <c r="D428">
        <v>3</v>
      </c>
      <c r="E428">
        <v>3</v>
      </c>
      <c r="F428">
        <v>99</v>
      </c>
      <c r="G428">
        <v>99</v>
      </c>
      <c r="H428">
        <v>91</v>
      </c>
      <c r="I428">
        <v>0</v>
      </c>
      <c r="J428">
        <v>19</v>
      </c>
      <c r="K428">
        <v>9.5</v>
      </c>
      <c r="L428">
        <v>7</v>
      </c>
    </row>
    <row r="429" spans="1:12">
      <c r="A429" t="s">
        <v>608</v>
      </c>
      <c r="B429" t="s">
        <v>1725</v>
      </c>
      <c r="C429" t="s">
        <v>1726</v>
      </c>
      <c r="D429">
        <v>3</v>
      </c>
      <c r="E429">
        <v>3</v>
      </c>
      <c r="F429">
        <v>78</v>
      </c>
      <c r="G429">
        <v>78</v>
      </c>
      <c r="H429">
        <v>69</v>
      </c>
      <c r="I429">
        <v>0</v>
      </c>
      <c r="J429">
        <v>28</v>
      </c>
      <c r="K429">
        <v>14</v>
      </c>
      <c r="L429">
        <v>7</v>
      </c>
    </row>
    <row r="430" spans="1:12">
      <c r="A430" t="s">
        <v>608</v>
      </c>
      <c r="B430" t="s">
        <v>1727</v>
      </c>
      <c r="C430" t="s">
        <v>1728</v>
      </c>
      <c r="D430">
        <v>3</v>
      </c>
      <c r="E430">
        <v>3</v>
      </c>
      <c r="F430">
        <v>99</v>
      </c>
      <c r="G430">
        <v>92</v>
      </c>
      <c r="H430">
        <v>89</v>
      </c>
      <c r="I430">
        <v>7</v>
      </c>
      <c r="J430">
        <v>35</v>
      </c>
      <c r="K430">
        <v>17.5</v>
      </c>
      <c r="L430">
        <v>14</v>
      </c>
    </row>
    <row r="431" spans="1:12">
      <c r="A431" t="s">
        <v>17</v>
      </c>
      <c r="B431" t="s">
        <v>1729</v>
      </c>
      <c r="C431" t="s">
        <v>1730</v>
      </c>
      <c r="D431">
        <v>3</v>
      </c>
      <c r="E431">
        <v>2</v>
      </c>
      <c r="F431">
        <v>98</v>
      </c>
      <c r="G431">
        <v>94</v>
      </c>
      <c r="H431">
        <v>94</v>
      </c>
      <c r="I431">
        <v>4</v>
      </c>
      <c r="J431">
        <v>23</v>
      </c>
      <c r="K431">
        <v>11.5</v>
      </c>
      <c r="L431">
        <v>214</v>
      </c>
    </row>
    <row r="432" spans="1:12">
      <c r="A432" t="s">
        <v>17</v>
      </c>
      <c r="B432" t="s">
        <v>1731</v>
      </c>
      <c r="C432" t="s">
        <v>1732</v>
      </c>
      <c r="D432">
        <v>3</v>
      </c>
      <c r="E432">
        <v>3</v>
      </c>
      <c r="F432">
        <v>87</v>
      </c>
      <c r="G432">
        <v>100</v>
      </c>
      <c r="H432">
        <v>87</v>
      </c>
      <c r="I432">
        <v>-13</v>
      </c>
      <c r="J432">
        <v>36</v>
      </c>
      <c r="K432">
        <v>18</v>
      </c>
      <c r="L432">
        <v>8</v>
      </c>
    </row>
    <row r="433" spans="1:12">
      <c r="A433" t="s">
        <v>17</v>
      </c>
      <c r="B433" t="s">
        <v>450</v>
      </c>
      <c r="C433" t="s">
        <v>454</v>
      </c>
      <c r="D433">
        <v>2</v>
      </c>
      <c r="E433">
        <v>2</v>
      </c>
      <c r="F433">
        <v>87</v>
      </c>
      <c r="G433">
        <v>74</v>
      </c>
      <c r="H433">
        <v>74</v>
      </c>
      <c r="I433">
        <v>13</v>
      </c>
      <c r="J433">
        <v>18</v>
      </c>
      <c r="K433">
        <v>18</v>
      </c>
      <c r="L433">
        <v>7</v>
      </c>
    </row>
    <row r="434" spans="1:12">
      <c r="A434" t="s">
        <v>608</v>
      </c>
      <c r="B434" t="s">
        <v>1733</v>
      </c>
      <c r="C434" t="s">
        <v>1734</v>
      </c>
      <c r="D434">
        <v>2</v>
      </c>
      <c r="E434">
        <v>2</v>
      </c>
      <c r="F434">
        <v>91</v>
      </c>
      <c r="G434">
        <v>53</v>
      </c>
      <c r="H434">
        <v>53</v>
      </c>
      <c r="I434">
        <v>38</v>
      </c>
      <c r="J434">
        <v>52</v>
      </c>
      <c r="K434">
        <v>52</v>
      </c>
      <c r="L434">
        <v>4</v>
      </c>
    </row>
    <row r="435" spans="1:12">
      <c r="A435" t="s">
        <v>17</v>
      </c>
      <c r="B435" t="s">
        <v>480</v>
      </c>
      <c r="C435" t="s">
        <v>484</v>
      </c>
      <c r="D435">
        <v>2</v>
      </c>
      <c r="E435">
        <v>2</v>
      </c>
      <c r="F435">
        <v>90</v>
      </c>
      <c r="G435">
        <v>79</v>
      </c>
      <c r="H435">
        <v>79</v>
      </c>
      <c r="I435">
        <v>11</v>
      </c>
      <c r="J435">
        <v>11</v>
      </c>
      <c r="K435">
        <v>11</v>
      </c>
      <c r="L435">
        <v>41</v>
      </c>
    </row>
    <row r="436" spans="1:12">
      <c r="A436" t="s">
        <v>17</v>
      </c>
      <c r="B436" t="s">
        <v>346</v>
      </c>
      <c r="C436" t="s">
        <v>350</v>
      </c>
      <c r="D436">
        <v>2</v>
      </c>
      <c r="E436">
        <v>2</v>
      </c>
      <c r="F436">
        <v>66</v>
      </c>
      <c r="G436">
        <v>56</v>
      </c>
      <c r="H436">
        <v>56</v>
      </c>
      <c r="I436">
        <v>10</v>
      </c>
      <c r="J436">
        <v>9</v>
      </c>
      <c r="K436">
        <v>9</v>
      </c>
      <c r="L436">
        <v>6</v>
      </c>
    </row>
    <row r="437" spans="1:12">
      <c r="A437" t="s">
        <v>608</v>
      </c>
      <c r="B437" t="s">
        <v>1177</v>
      </c>
      <c r="C437" t="s">
        <v>1181</v>
      </c>
      <c r="D437">
        <v>2</v>
      </c>
      <c r="E437">
        <v>2</v>
      </c>
      <c r="F437">
        <v>98</v>
      </c>
      <c r="G437">
        <v>99</v>
      </c>
      <c r="H437">
        <v>98</v>
      </c>
      <c r="I437">
        <v>-1</v>
      </c>
      <c r="J437">
        <v>33</v>
      </c>
      <c r="K437">
        <v>33</v>
      </c>
      <c r="L437">
        <v>8</v>
      </c>
    </row>
    <row r="438" spans="1:12">
      <c r="A438" t="s">
        <v>17</v>
      </c>
      <c r="B438" t="s">
        <v>427</v>
      </c>
      <c r="C438" t="s">
        <v>431</v>
      </c>
      <c r="D438">
        <v>2</v>
      </c>
      <c r="E438">
        <v>2</v>
      </c>
      <c r="F438">
        <v>89</v>
      </c>
      <c r="G438">
        <v>70</v>
      </c>
      <c r="H438">
        <v>70</v>
      </c>
      <c r="I438">
        <v>19</v>
      </c>
      <c r="J438">
        <v>24</v>
      </c>
      <c r="K438">
        <v>24</v>
      </c>
      <c r="L438">
        <v>5</v>
      </c>
    </row>
    <row r="439" spans="1:12">
      <c r="A439" t="s">
        <v>608</v>
      </c>
      <c r="B439" t="s">
        <v>1208</v>
      </c>
      <c r="C439" t="s">
        <v>1210</v>
      </c>
      <c r="D439">
        <v>2</v>
      </c>
      <c r="E439">
        <v>2</v>
      </c>
      <c r="F439">
        <v>80</v>
      </c>
      <c r="G439">
        <v>91</v>
      </c>
      <c r="H439">
        <v>80</v>
      </c>
      <c r="I439">
        <v>-11</v>
      </c>
      <c r="J439">
        <v>16</v>
      </c>
      <c r="K439">
        <v>16</v>
      </c>
      <c r="L439">
        <v>8</v>
      </c>
    </row>
    <row r="440" spans="1:12">
      <c r="A440" t="s">
        <v>608</v>
      </c>
      <c r="B440" t="s">
        <v>1735</v>
      </c>
      <c r="C440" t="s">
        <v>1736</v>
      </c>
      <c r="D440">
        <v>2</v>
      </c>
      <c r="E440">
        <v>2</v>
      </c>
      <c r="F440">
        <v>93</v>
      </c>
      <c r="G440">
        <v>98</v>
      </c>
      <c r="H440">
        <v>93</v>
      </c>
      <c r="I440">
        <v>-5</v>
      </c>
      <c r="J440">
        <v>16</v>
      </c>
      <c r="K440">
        <v>16</v>
      </c>
      <c r="L440">
        <v>12</v>
      </c>
    </row>
    <row r="441" spans="1:12">
      <c r="A441" t="s">
        <v>608</v>
      </c>
      <c r="B441" t="s">
        <v>1091</v>
      </c>
      <c r="C441" t="s">
        <v>1095</v>
      </c>
      <c r="D441">
        <v>2</v>
      </c>
      <c r="E441">
        <v>2</v>
      </c>
      <c r="F441">
        <v>92</v>
      </c>
      <c r="G441">
        <v>84</v>
      </c>
      <c r="H441">
        <v>84</v>
      </c>
      <c r="I441">
        <v>8</v>
      </c>
      <c r="J441">
        <v>10</v>
      </c>
      <c r="K441">
        <v>10</v>
      </c>
      <c r="L441">
        <v>4</v>
      </c>
    </row>
    <row r="442" spans="1:12">
      <c r="A442" t="s">
        <v>608</v>
      </c>
      <c r="B442" t="s">
        <v>1047</v>
      </c>
      <c r="D442">
        <v>2</v>
      </c>
      <c r="E442">
        <v>2</v>
      </c>
      <c r="F442">
        <v>89</v>
      </c>
      <c r="G442">
        <v>76</v>
      </c>
      <c r="H442">
        <v>76</v>
      </c>
      <c r="I442">
        <v>13</v>
      </c>
      <c r="J442">
        <v>17</v>
      </c>
      <c r="K442">
        <v>17</v>
      </c>
      <c r="L442">
        <v>5</v>
      </c>
    </row>
    <row r="443" spans="1:12">
      <c r="A443" t="s">
        <v>608</v>
      </c>
      <c r="B443" t="s">
        <v>1737</v>
      </c>
      <c r="C443" t="s">
        <v>1738</v>
      </c>
      <c r="D443">
        <v>2</v>
      </c>
      <c r="E443">
        <v>2</v>
      </c>
      <c r="F443">
        <v>79</v>
      </c>
      <c r="G443">
        <v>95</v>
      </c>
      <c r="H443">
        <v>79</v>
      </c>
      <c r="I443">
        <v>-16</v>
      </c>
      <c r="J443">
        <v>17</v>
      </c>
      <c r="K443">
        <v>17</v>
      </c>
      <c r="L443">
        <v>9</v>
      </c>
    </row>
    <row r="444" spans="1:12">
      <c r="A444" t="s">
        <v>17</v>
      </c>
      <c r="B444" t="s">
        <v>193</v>
      </c>
      <c r="C444" t="s">
        <v>196</v>
      </c>
      <c r="D444">
        <v>2</v>
      </c>
      <c r="E444">
        <v>2</v>
      </c>
      <c r="F444">
        <v>50</v>
      </c>
      <c r="G444">
        <v>30</v>
      </c>
      <c r="H444">
        <v>30</v>
      </c>
      <c r="I444">
        <v>20</v>
      </c>
      <c r="J444">
        <v>23</v>
      </c>
      <c r="K444">
        <v>23</v>
      </c>
      <c r="L444">
        <v>5</v>
      </c>
    </row>
    <row r="445" spans="1:12">
      <c r="A445" t="s">
        <v>17</v>
      </c>
      <c r="B445" t="s">
        <v>1739</v>
      </c>
      <c r="C445" t="s">
        <v>1740</v>
      </c>
      <c r="D445">
        <v>2</v>
      </c>
      <c r="E445">
        <v>2</v>
      </c>
      <c r="F445">
        <v>97</v>
      </c>
      <c r="G445">
        <v>85</v>
      </c>
      <c r="H445">
        <v>85</v>
      </c>
      <c r="I445">
        <v>12</v>
      </c>
      <c r="J445">
        <v>8</v>
      </c>
      <c r="K445">
        <v>8</v>
      </c>
      <c r="L445">
        <v>6</v>
      </c>
    </row>
    <row r="446" spans="1:12">
      <c r="A446" t="s">
        <v>608</v>
      </c>
      <c r="B446" t="s">
        <v>1148</v>
      </c>
      <c r="C446" t="s">
        <v>1152</v>
      </c>
      <c r="D446">
        <v>2</v>
      </c>
      <c r="E446">
        <v>2</v>
      </c>
      <c r="F446">
        <v>97</v>
      </c>
      <c r="G446">
        <v>94</v>
      </c>
      <c r="H446">
        <v>94</v>
      </c>
      <c r="I446">
        <v>3</v>
      </c>
      <c r="J446">
        <v>23</v>
      </c>
      <c r="K446">
        <v>23</v>
      </c>
      <c r="L446">
        <v>27</v>
      </c>
    </row>
    <row r="447" spans="1:12">
      <c r="A447" t="s">
        <v>17</v>
      </c>
      <c r="B447" t="s">
        <v>1741</v>
      </c>
      <c r="C447" t="s">
        <v>1742</v>
      </c>
      <c r="D447">
        <v>2</v>
      </c>
      <c r="E447">
        <v>2</v>
      </c>
      <c r="F447">
        <v>93</v>
      </c>
      <c r="G447">
        <v>92</v>
      </c>
      <c r="H447">
        <v>92</v>
      </c>
      <c r="I447">
        <v>1</v>
      </c>
      <c r="J447">
        <v>13</v>
      </c>
      <c r="K447">
        <v>13</v>
      </c>
      <c r="L447">
        <v>587</v>
      </c>
    </row>
    <row r="448" spans="1:12">
      <c r="A448" t="s">
        <v>17</v>
      </c>
      <c r="B448" t="s">
        <v>486</v>
      </c>
      <c r="C448" t="s">
        <v>489</v>
      </c>
      <c r="D448">
        <v>2</v>
      </c>
      <c r="E448">
        <v>2</v>
      </c>
      <c r="F448">
        <v>99</v>
      </c>
      <c r="G448">
        <v>80</v>
      </c>
      <c r="H448">
        <v>80</v>
      </c>
      <c r="I448">
        <v>19</v>
      </c>
      <c r="J448">
        <v>4</v>
      </c>
      <c r="K448">
        <v>4</v>
      </c>
      <c r="L448">
        <v>5</v>
      </c>
    </row>
    <row r="449" spans="1:12">
      <c r="A449" t="s">
        <v>17</v>
      </c>
      <c r="B449" t="s">
        <v>1743</v>
      </c>
      <c r="C449" t="s">
        <v>1744</v>
      </c>
      <c r="D449">
        <v>2</v>
      </c>
      <c r="E449">
        <v>2</v>
      </c>
      <c r="F449">
        <v>95</v>
      </c>
      <c r="G449">
        <v>93</v>
      </c>
      <c r="H449">
        <v>93</v>
      </c>
      <c r="I449">
        <v>2</v>
      </c>
      <c r="J449">
        <v>4</v>
      </c>
      <c r="K449">
        <v>4</v>
      </c>
      <c r="L449">
        <v>10</v>
      </c>
    </row>
    <row r="450" spans="1:12">
      <c r="A450" t="s">
        <v>608</v>
      </c>
      <c r="B450" t="s">
        <v>1024</v>
      </c>
      <c r="C450" t="s">
        <v>1028</v>
      </c>
      <c r="D450">
        <v>2</v>
      </c>
      <c r="E450">
        <v>2</v>
      </c>
      <c r="F450">
        <v>78</v>
      </c>
      <c r="G450">
        <v>72</v>
      </c>
      <c r="H450">
        <v>72</v>
      </c>
      <c r="I450">
        <v>6</v>
      </c>
      <c r="J450">
        <v>13</v>
      </c>
      <c r="K450">
        <v>13</v>
      </c>
      <c r="L450">
        <v>51</v>
      </c>
    </row>
    <row r="451" spans="1:12">
      <c r="A451" t="s">
        <v>608</v>
      </c>
      <c r="B451" t="s">
        <v>1745</v>
      </c>
      <c r="C451" t="s">
        <v>1746</v>
      </c>
      <c r="D451">
        <v>1</v>
      </c>
      <c r="E451">
        <v>1</v>
      </c>
      <c r="F451">
        <v>91</v>
      </c>
      <c r="G451">
        <v>91</v>
      </c>
      <c r="H451">
        <v>91</v>
      </c>
      <c r="I451">
        <v>0</v>
      </c>
      <c r="J451">
        <v>0</v>
      </c>
      <c r="K451">
        <v>0</v>
      </c>
      <c r="L451">
        <v>0</v>
      </c>
    </row>
    <row r="452" spans="1:12">
      <c r="A452" t="s">
        <v>17</v>
      </c>
      <c r="B452" t="s">
        <v>1747</v>
      </c>
      <c r="C452" t="s">
        <v>1748</v>
      </c>
      <c r="D452">
        <v>1</v>
      </c>
      <c r="E452">
        <v>1</v>
      </c>
      <c r="F452">
        <v>86</v>
      </c>
      <c r="G452">
        <v>86</v>
      </c>
      <c r="H452">
        <v>86</v>
      </c>
      <c r="I452">
        <v>0</v>
      </c>
      <c r="J452">
        <v>0</v>
      </c>
      <c r="K452">
        <v>0</v>
      </c>
      <c r="L452">
        <v>48</v>
      </c>
    </row>
    <row r="453" spans="1:12">
      <c r="A453" t="s">
        <v>17</v>
      </c>
      <c r="B453" t="s">
        <v>1749</v>
      </c>
      <c r="C453" t="s">
        <v>1750</v>
      </c>
      <c r="D453">
        <v>1</v>
      </c>
      <c r="E453">
        <v>1</v>
      </c>
      <c r="F453">
        <v>91</v>
      </c>
      <c r="G453">
        <v>91</v>
      </c>
      <c r="H453">
        <v>91</v>
      </c>
      <c r="I453">
        <v>0</v>
      </c>
      <c r="J453">
        <v>0</v>
      </c>
      <c r="K453">
        <v>0</v>
      </c>
      <c r="L453">
        <v>5</v>
      </c>
    </row>
    <row r="454" spans="1:12">
      <c r="A454" t="s">
        <v>17</v>
      </c>
      <c r="B454" t="s">
        <v>1751</v>
      </c>
      <c r="C454" t="s">
        <v>1752</v>
      </c>
      <c r="D454">
        <v>1</v>
      </c>
      <c r="E454">
        <v>1</v>
      </c>
      <c r="F454">
        <v>95</v>
      </c>
      <c r="G454">
        <v>95</v>
      </c>
      <c r="H454">
        <v>95</v>
      </c>
      <c r="I454">
        <v>0</v>
      </c>
      <c r="J454">
        <v>0</v>
      </c>
      <c r="K454">
        <v>0</v>
      </c>
      <c r="L454">
        <v>4</v>
      </c>
    </row>
    <row r="455" spans="1:12">
      <c r="A455" t="s">
        <v>17</v>
      </c>
      <c r="B455" t="s">
        <v>1753</v>
      </c>
      <c r="C455" t="s">
        <v>1754</v>
      </c>
      <c r="D455">
        <v>1</v>
      </c>
      <c r="E455">
        <v>1</v>
      </c>
      <c r="F455">
        <v>94</v>
      </c>
      <c r="G455">
        <v>94</v>
      </c>
      <c r="H455">
        <v>94</v>
      </c>
      <c r="I455">
        <v>0</v>
      </c>
      <c r="J455">
        <v>0</v>
      </c>
      <c r="K455">
        <v>0</v>
      </c>
      <c r="L455">
        <v>71</v>
      </c>
    </row>
    <row r="456" spans="1:12">
      <c r="A456" t="s">
        <v>17</v>
      </c>
      <c r="B456" t="s">
        <v>1755</v>
      </c>
      <c r="C456" t="s">
        <v>1756</v>
      </c>
      <c r="D456">
        <v>1</v>
      </c>
      <c r="E456">
        <v>1</v>
      </c>
      <c r="F456">
        <v>92</v>
      </c>
      <c r="G456">
        <v>92</v>
      </c>
      <c r="H456">
        <v>92</v>
      </c>
      <c r="I456">
        <v>0</v>
      </c>
      <c r="J456">
        <v>0</v>
      </c>
      <c r="K456">
        <v>0</v>
      </c>
      <c r="L456">
        <v>90</v>
      </c>
    </row>
    <row r="457" spans="1:12">
      <c r="A457" t="s">
        <v>17</v>
      </c>
      <c r="B457" t="s">
        <v>1757</v>
      </c>
      <c r="C457" t="s">
        <v>1758</v>
      </c>
      <c r="D457">
        <v>1</v>
      </c>
      <c r="E457">
        <v>1</v>
      </c>
      <c r="F457">
        <v>41</v>
      </c>
      <c r="G457">
        <v>41</v>
      </c>
      <c r="H457">
        <v>41</v>
      </c>
      <c r="I457">
        <v>0</v>
      </c>
      <c r="J457">
        <v>0</v>
      </c>
      <c r="K457">
        <v>0</v>
      </c>
      <c r="L457">
        <v>4</v>
      </c>
    </row>
    <row r="458" spans="1:12">
      <c r="A458" t="s">
        <v>17</v>
      </c>
      <c r="B458" t="s">
        <v>1759</v>
      </c>
      <c r="C458" t="s">
        <v>1760</v>
      </c>
      <c r="D458">
        <v>1</v>
      </c>
      <c r="E458">
        <v>1</v>
      </c>
      <c r="F458">
        <v>97</v>
      </c>
      <c r="G458">
        <v>97</v>
      </c>
      <c r="H458">
        <v>97</v>
      </c>
      <c r="I458">
        <v>0</v>
      </c>
      <c r="J458">
        <v>0</v>
      </c>
      <c r="K458">
        <v>0</v>
      </c>
      <c r="L458">
        <v>33</v>
      </c>
    </row>
    <row r="459" spans="1:12">
      <c r="A459" t="s">
        <v>17</v>
      </c>
      <c r="B459" t="s">
        <v>1761</v>
      </c>
      <c r="C459" t="s">
        <v>1762</v>
      </c>
      <c r="D459">
        <v>1</v>
      </c>
      <c r="E459">
        <v>1</v>
      </c>
      <c r="F459">
        <v>80</v>
      </c>
      <c r="G459">
        <v>80</v>
      </c>
      <c r="H459">
        <v>80</v>
      </c>
      <c r="I459">
        <v>0</v>
      </c>
      <c r="J459">
        <v>0</v>
      </c>
      <c r="K459">
        <v>0</v>
      </c>
      <c r="L459">
        <v>2</v>
      </c>
    </row>
    <row r="460" spans="1:12">
      <c r="A460" t="s">
        <v>17</v>
      </c>
      <c r="B460" t="s">
        <v>1763</v>
      </c>
      <c r="C460" t="s">
        <v>1764</v>
      </c>
      <c r="D460">
        <v>1</v>
      </c>
      <c r="E460">
        <v>1</v>
      </c>
      <c r="F460">
        <v>96</v>
      </c>
      <c r="G460">
        <v>96</v>
      </c>
      <c r="H460">
        <v>96</v>
      </c>
      <c r="I460">
        <v>0</v>
      </c>
      <c r="J460">
        <v>0</v>
      </c>
      <c r="K460">
        <v>0</v>
      </c>
      <c r="L460">
        <v>271</v>
      </c>
    </row>
    <row r="461" spans="1:12">
      <c r="A461" t="s">
        <v>17</v>
      </c>
      <c r="B461" t="s">
        <v>1765</v>
      </c>
      <c r="C461" t="s">
        <v>1766</v>
      </c>
      <c r="D461">
        <v>1</v>
      </c>
      <c r="E461">
        <v>1</v>
      </c>
      <c r="F461">
        <v>95</v>
      </c>
      <c r="G461">
        <v>95</v>
      </c>
      <c r="H461">
        <v>95</v>
      </c>
      <c r="I461">
        <v>0</v>
      </c>
      <c r="J461">
        <v>0</v>
      </c>
      <c r="K461">
        <v>0</v>
      </c>
      <c r="L461">
        <v>217</v>
      </c>
    </row>
    <row r="462" spans="1:12">
      <c r="A462" t="s">
        <v>608</v>
      </c>
      <c r="B462" t="s">
        <v>1767</v>
      </c>
      <c r="C462" t="s">
        <v>1768</v>
      </c>
      <c r="D462">
        <v>1</v>
      </c>
      <c r="E462">
        <v>1</v>
      </c>
      <c r="F462">
        <v>83</v>
      </c>
      <c r="G462">
        <v>83</v>
      </c>
      <c r="H462">
        <v>83</v>
      </c>
      <c r="I462">
        <v>0</v>
      </c>
      <c r="J462">
        <v>0</v>
      </c>
      <c r="K462">
        <v>0</v>
      </c>
      <c r="L462">
        <v>15</v>
      </c>
    </row>
    <row r="463" spans="1:12">
      <c r="A463" t="s">
        <v>17</v>
      </c>
      <c r="B463" t="s">
        <v>584</v>
      </c>
      <c r="C463" t="s">
        <v>588</v>
      </c>
      <c r="D463">
        <v>1</v>
      </c>
      <c r="E463">
        <v>1</v>
      </c>
      <c r="F463">
        <v>97</v>
      </c>
      <c r="G463">
        <v>97</v>
      </c>
      <c r="H463">
        <v>97</v>
      </c>
      <c r="I463">
        <v>0</v>
      </c>
      <c r="J463">
        <v>0</v>
      </c>
      <c r="K463">
        <v>0</v>
      </c>
      <c r="L463">
        <v>6</v>
      </c>
    </row>
    <row r="464" spans="1:12">
      <c r="A464" t="s">
        <v>17</v>
      </c>
      <c r="B464" t="s">
        <v>1769</v>
      </c>
      <c r="C464" t="s">
        <v>1770</v>
      </c>
      <c r="D464">
        <v>1</v>
      </c>
      <c r="E464">
        <v>1</v>
      </c>
      <c r="F464">
        <v>98</v>
      </c>
      <c r="G464">
        <v>98</v>
      </c>
      <c r="H464">
        <v>98</v>
      </c>
      <c r="I464">
        <v>0</v>
      </c>
      <c r="J464">
        <v>0</v>
      </c>
      <c r="K464">
        <v>0</v>
      </c>
      <c r="L464">
        <v>1</v>
      </c>
    </row>
    <row r="465" spans="1:12">
      <c r="A465" t="s">
        <v>17</v>
      </c>
      <c r="B465" t="s">
        <v>1771</v>
      </c>
      <c r="C465" t="s">
        <v>1772</v>
      </c>
      <c r="D465">
        <v>1</v>
      </c>
      <c r="E465">
        <v>1</v>
      </c>
      <c r="F465">
        <v>99</v>
      </c>
      <c r="G465">
        <v>99</v>
      </c>
      <c r="H465">
        <v>99</v>
      </c>
      <c r="I465">
        <v>0</v>
      </c>
      <c r="J465">
        <v>0</v>
      </c>
      <c r="K465">
        <v>0</v>
      </c>
      <c r="L465">
        <v>11</v>
      </c>
    </row>
    <row r="466" spans="1:12">
      <c r="A466" t="s">
        <v>17</v>
      </c>
      <c r="B466" t="s">
        <v>1773</v>
      </c>
      <c r="C466" t="s">
        <v>1774</v>
      </c>
      <c r="D466">
        <v>1</v>
      </c>
      <c r="E466">
        <v>1</v>
      </c>
      <c r="F466">
        <v>100</v>
      </c>
      <c r="G466">
        <v>100</v>
      </c>
      <c r="H466">
        <v>100</v>
      </c>
      <c r="I466">
        <v>0</v>
      </c>
      <c r="J466">
        <v>0</v>
      </c>
      <c r="K466">
        <v>0</v>
      </c>
      <c r="L466">
        <v>6</v>
      </c>
    </row>
    <row r="467" spans="1:12">
      <c r="A467" t="s">
        <v>17</v>
      </c>
      <c r="B467" t="s">
        <v>1775</v>
      </c>
      <c r="C467" t="s">
        <v>1776</v>
      </c>
      <c r="D467">
        <v>1</v>
      </c>
      <c r="E467">
        <v>1</v>
      </c>
      <c r="F467">
        <v>99</v>
      </c>
      <c r="G467">
        <v>99</v>
      </c>
      <c r="H467">
        <v>99</v>
      </c>
      <c r="I467">
        <v>0</v>
      </c>
      <c r="J467">
        <v>0</v>
      </c>
      <c r="K467">
        <v>0</v>
      </c>
      <c r="L467">
        <v>95</v>
      </c>
    </row>
    <row r="468" spans="1:12">
      <c r="A468" t="s">
        <v>608</v>
      </c>
      <c r="B468" t="s">
        <v>1777</v>
      </c>
      <c r="C468" t="s">
        <v>1778</v>
      </c>
      <c r="D468">
        <v>1</v>
      </c>
      <c r="E468">
        <v>1</v>
      </c>
      <c r="F468">
        <v>82</v>
      </c>
      <c r="G468">
        <v>82</v>
      </c>
      <c r="H468">
        <v>82</v>
      </c>
      <c r="I468">
        <v>0</v>
      </c>
      <c r="J468">
        <v>0</v>
      </c>
      <c r="K468">
        <v>0</v>
      </c>
      <c r="L468">
        <v>70</v>
      </c>
    </row>
    <row r="469" spans="1:12">
      <c r="A469" t="s">
        <v>608</v>
      </c>
      <c r="B469" t="s">
        <v>1779</v>
      </c>
      <c r="C469" t="s">
        <v>1780</v>
      </c>
      <c r="D469">
        <v>1</v>
      </c>
      <c r="E469">
        <v>1</v>
      </c>
      <c r="F469">
        <v>92</v>
      </c>
      <c r="G469">
        <v>92</v>
      </c>
      <c r="H469">
        <v>92</v>
      </c>
      <c r="I469">
        <v>0</v>
      </c>
      <c r="J469">
        <v>0</v>
      </c>
      <c r="K469">
        <v>0</v>
      </c>
      <c r="L469">
        <v>7</v>
      </c>
    </row>
    <row r="470" spans="1:12">
      <c r="A470" t="s">
        <v>608</v>
      </c>
      <c r="B470" t="s">
        <v>1781</v>
      </c>
      <c r="C470" t="s">
        <v>1782</v>
      </c>
      <c r="D470">
        <v>1</v>
      </c>
      <c r="E470">
        <v>1</v>
      </c>
      <c r="F470">
        <v>85</v>
      </c>
      <c r="G470">
        <v>85</v>
      </c>
      <c r="H470">
        <v>85</v>
      </c>
      <c r="I470">
        <v>0</v>
      </c>
      <c r="J470">
        <v>0</v>
      </c>
      <c r="K470">
        <v>0</v>
      </c>
      <c r="L470">
        <v>23</v>
      </c>
    </row>
    <row r="471" spans="1:12">
      <c r="A471" t="s">
        <v>608</v>
      </c>
      <c r="B471" t="s">
        <v>1097</v>
      </c>
      <c r="C471" t="s">
        <v>1101</v>
      </c>
      <c r="D471">
        <v>1</v>
      </c>
      <c r="E471">
        <v>1</v>
      </c>
      <c r="F471">
        <v>85</v>
      </c>
      <c r="G471">
        <v>85</v>
      </c>
      <c r="H471">
        <v>85</v>
      </c>
      <c r="I471">
        <v>0</v>
      </c>
      <c r="J471">
        <v>0</v>
      </c>
      <c r="K471">
        <v>0</v>
      </c>
      <c r="L471">
        <v>125</v>
      </c>
    </row>
    <row r="472" spans="1:12">
      <c r="A472" t="s">
        <v>608</v>
      </c>
      <c r="B472" t="s">
        <v>1783</v>
      </c>
      <c r="C472" t="s">
        <v>1784</v>
      </c>
      <c r="D472">
        <v>1</v>
      </c>
      <c r="E472">
        <v>1</v>
      </c>
      <c r="F472">
        <v>68</v>
      </c>
      <c r="G472">
        <v>68</v>
      </c>
      <c r="H472">
        <v>68</v>
      </c>
      <c r="I472">
        <v>0</v>
      </c>
      <c r="J472">
        <v>0</v>
      </c>
      <c r="K472">
        <v>0</v>
      </c>
      <c r="L472">
        <v>10</v>
      </c>
    </row>
    <row r="473" spans="1:12">
      <c r="A473" t="s">
        <v>17</v>
      </c>
      <c r="B473" t="s">
        <v>1785</v>
      </c>
      <c r="C473" t="s">
        <v>1786</v>
      </c>
      <c r="D473">
        <v>1</v>
      </c>
      <c r="E473">
        <v>1</v>
      </c>
      <c r="F473">
        <v>52</v>
      </c>
      <c r="G473">
        <v>52</v>
      </c>
      <c r="H473">
        <v>52</v>
      </c>
      <c r="I473">
        <v>0</v>
      </c>
      <c r="J473">
        <v>0</v>
      </c>
      <c r="K473">
        <v>0</v>
      </c>
      <c r="L473">
        <v>51</v>
      </c>
    </row>
    <row r="474" spans="1:12">
      <c r="A474" t="s">
        <v>608</v>
      </c>
      <c r="B474" t="s">
        <v>1787</v>
      </c>
      <c r="C474" t="s">
        <v>1788</v>
      </c>
      <c r="D474">
        <v>1</v>
      </c>
      <c r="E474">
        <v>1</v>
      </c>
      <c r="F474">
        <v>96</v>
      </c>
      <c r="G474">
        <v>96</v>
      </c>
      <c r="H474">
        <v>96</v>
      </c>
      <c r="I474">
        <v>0</v>
      </c>
      <c r="J474">
        <v>0</v>
      </c>
      <c r="K474">
        <v>0</v>
      </c>
      <c r="L474">
        <v>6</v>
      </c>
    </row>
    <row r="475" spans="1:12">
      <c r="A475" t="s">
        <v>608</v>
      </c>
      <c r="B475" t="s">
        <v>1789</v>
      </c>
      <c r="C475" t="s">
        <v>1790</v>
      </c>
      <c r="D475">
        <v>1</v>
      </c>
      <c r="E475">
        <v>1</v>
      </c>
      <c r="F475">
        <v>71</v>
      </c>
      <c r="G475">
        <v>71</v>
      </c>
      <c r="H475">
        <v>71</v>
      </c>
      <c r="I475">
        <v>0</v>
      </c>
      <c r="J475">
        <v>0</v>
      </c>
      <c r="K475">
        <v>0</v>
      </c>
      <c r="L475">
        <v>5</v>
      </c>
    </row>
    <row r="476" spans="1:12">
      <c r="A476" t="s">
        <v>608</v>
      </c>
      <c r="B476" t="s">
        <v>1791</v>
      </c>
      <c r="C476" t="s">
        <v>1792</v>
      </c>
      <c r="D476">
        <v>1</v>
      </c>
      <c r="E476">
        <v>1</v>
      </c>
      <c r="F476">
        <v>99</v>
      </c>
      <c r="G476">
        <v>99</v>
      </c>
      <c r="H476">
        <v>99</v>
      </c>
      <c r="I476">
        <v>0</v>
      </c>
      <c r="J476">
        <v>0</v>
      </c>
      <c r="K476">
        <v>0</v>
      </c>
      <c r="L476">
        <v>1717</v>
      </c>
    </row>
    <row r="477" spans="1:12">
      <c r="A477" t="s">
        <v>608</v>
      </c>
      <c r="B477" t="s">
        <v>1793</v>
      </c>
      <c r="C477" t="s">
        <v>1794</v>
      </c>
      <c r="D477">
        <v>1</v>
      </c>
      <c r="E477">
        <v>1</v>
      </c>
      <c r="F477">
        <v>98</v>
      </c>
      <c r="G477">
        <v>98</v>
      </c>
      <c r="H477">
        <v>98</v>
      </c>
      <c r="I477">
        <v>0</v>
      </c>
      <c r="J477">
        <v>0</v>
      </c>
      <c r="K477">
        <v>0</v>
      </c>
      <c r="L477">
        <v>8</v>
      </c>
    </row>
    <row r="478" spans="1:12">
      <c r="A478" t="s">
        <v>608</v>
      </c>
      <c r="B478" t="s">
        <v>1172</v>
      </c>
      <c r="C478" t="s">
        <v>1175</v>
      </c>
      <c r="D478">
        <v>1</v>
      </c>
      <c r="E478">
        <v>1</v>
      </c>
      <c r="F478">
        <v>98</v>
      </c>
      <c r="G478">
        <v>98</v>
      </c>
      <c r="H478">
        <v>98</v>
      </c>
      <c r="I478">
        <v>0</v>
      </c>
      <c r="J478">
        <v>0</v>
      </c>
      <c r="K478">
        <v>0</v>
      </c>
      <c r="L478">
        <v>416</v>
      </c>
    </row>
    <row r="479" spans="1:12">
      <c r="A479" t="s">
        <v>608</v>
      </c>
      <c r="B479" t="s">
        <v>1795</v>
      </c>
      <c r="C479" t="s">
        <v>1796</v>
      </c>
      <c r="D479">
        <v>1</v>
      </c>
      <c r="E479">
        <v>1</v>
      </c>
      <c r="F479">
        <v>98</v>
      </c>
      <c r="G479">
        <v>98</v>
      </c>
      <c r="H479">
        <v>98</v>
      </c>
      <c r="I479">
        <v>0</v>
      </c>
      <c r="J479">
        <v>0</v>
      </c>
      <c r="K479">
        <v>0</v>
      </c>
      <c r="L479">
        <v>16</v>
      </c>
    </row>
    <row r="480" spans="1:12">
      <c r="A480" t="s">
        <v>608</v>
      </c>
      <c r="B480" t="s">
        <v>1166</v>
      </c>
      <c r="C480" t="s">
        <v>1170</v>
      </c>
      <c r="D480">
        <v>1</v>
      </c>
      <c r="E480">
        <v>1</v>
      </c>
      <c r="F480">
        <v>97</v>
      </c>
      <c r="G480">
        <v>97</v>
      </c>
      <c r="H480">
        <v>97</v>
      </c>
      <c r="I480">
        <v>0</v>
      </c>
      <c r="J480">
        <v>0</v>
      </c>
      <c r="K480">
        <v>0</v>
      </c>
      <c r="L480">
        <v>11</v>
      </c>
    </row>
    <row r="481" spans="1:12">
      <c r="A481" t="s">
        <v>17</v>
      </c>
      <c r="B481" t="s">
        <v>1797</v>
      </c>
      <c r="C481" t="s">
        <v>1798</v>
      </c>
      <c r="D481">
        <v>1</v>
      </c>
      <c r="E481">
        <v>1</v>
      </c>
      <c r="F481">
        <v>56</v>
      </c>
      <c r="G481">
        <v>56</v>
      </c>
      <c r="H481">
        <v>56</v>
      </c>
      <c r="I481">
        <v>0</v>
      </c>
      <c r="J481">
        <v>0</v>
      </c>
      <c r="K481">
        <v>0</v>
      </c>
      <c r="L481">
        <v>5</v>
      </c>
    </row>
    <row r="482" spans="1:12">
      <c r="A482" t="s">
        <v>608</v>
      </c>
      <c r="B482" t="s">
        <v>1799</v>
      </c>
      <c r="C482" t="s">
        <v>1800</v>
      </c>
      <c r="D482">
        <v>1</v>
      </c>
      <c r="E482">
        <v>1</v>
      </c>
      <c r="F482">
        <v>99</v>
      </c>
      <c r="G482">
        <v>99</v>
      </c>
      <c r="H482">
        <v>99</v>
      </c>
      <c r="I482">
        <v>0</v>
      </c>
      <c r="J482">
        <v>0</v>
      </c>
      <c r="K482">
        <v>0</v>
      </c>
      <c r="L482">
        <v>10</v>
      </c>
    </row>
    <row r="483" spans="1:12">
      <c r="A483" t="s">
        <v>608</v>
      </c>
      <c r="B483" t="s">
        <v>1205</v>
      </c>
      <c r="C483" t="s">
        <v>1207</v>
      </c>
      <c r="D483">
        <v>1</v>
      </c>
      <c r="E483">
        <v>1</v>
      </c>
      <c r="F483">
        <v>100</v>
      </c>
      <c r="G483">
        <v>100</v>
      </c>
      <c r="H483">
        <v>100</v>
      </c>
      <c r="I483">
        <v>0</v>
      </c>
      <c r="J483">
        <v>0</v>
      </c>
      <c r="K483">
        <v>0</v>
      </c>
      <c r="L483">
        <v>17</v>
      </c>
    </row>
  </sheetData>
  <phoneticPr fontId="1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07"/>
  <sheetViews>
    <sheetView workbookViewId="0"/>
  </sheetViews>
  <sheetFormatPr defaultRowHeight="13.2"/>
  <sheetData>
    <row r="1" spans="1:27">
      <c r="A1" s="1" t="s">
        <v>1801</v>
      </c>
      <c r="B1" s="1" t="s">
        <v>0</v>
      </c>
      <c r="C1" s="1" t="s">
        <v>1217</v>
      </c>
      <c r="D1" s="1" t="s">
        <v>3</v>
      </c>
      <c r="E1" s="1" t="s">
        <v>4</v>
      </c>
      <c r="F1" s="1" t="s">
        <v>5</v>
      </c>
      <c r="G1" s="1" t="s">
        <v>1</v>
      </c>
      <c r="H1" s="1" t="s">
        <v>10</v>
      </c>
      <c r="I1" s="1" t="s">
        <v>13</v>
      </c>
      <c r="J1" s="1" t="s">
        <v>14</v>
      </c>
      <c r="K1" s="1" t="s">
        <v>15</v>
      </c>
      <c r="L1" s="1" t="s">
        <v>9</v>
      </c>
      <c r="M1" s="1" t="s">
        <v>16</v>
      </c>
      <c r="N1" s="1" t="s">
        <v>6</v>
      </c>
      <c r="O1" s="1" t="s">
        <v>7</v>
      </c>
      <c r="P1" s="1" t="s">
        <v>8</v>
      </c>
      <c r="Q1" s="1" t="s">
        <v>1211</v>
      </c>
      <c r="R1" s="1" t="s">
        <v>1216</v>
      </c>
      <c r="S1" s="1" t="s">
        <v>1802</v>
      </c>
      <c r="T1" s="1" t="s">
        <v>1213</v>
      </c>
      <c r="U1" s="1" t="s">
        <v>1212</v>
      </c>
      <c r="V1" s="1" t="s">
        <v>11</v>
      </c>
      <c r="W1" s="1" t="s">
        <v>12</v>
      </c>
      <c r="X1" s="1" t="s">
        <v>1214</v>
      </c>
      <c r="Y1" s="1" t="s">
        <v>1215</v>
      </c>
      <c r="Z1" s="1" t="s">
        <v>2</v>
      </c>
      <c r="AA1" s="1" t="s">
        <v>1803</v>
      </c>
    </row>
    <row r="2" spans="1:27">
      <c r="A2" t="s">
        <v>1804</v>
      </c>
      <c r="B2" t="s">
        <v>17</v>
      </c>
      <c r="C2" t="s">
        <v>1805</v>
      </c>
      <c r="D2" t="s">
        <v>602</v>
      </c>
      <c r="E2" t="s">
        <v>603</v>
      </c>
      <c r="F2" t="s">
        <v>604</v>
      </c>
      <c r="G2">
        <v>100</v>
      </c>
      <c r="H2">
        <v>42263</v>
      </c>
      <c r="I2">
        <v>349</v>
      </c>
      <c r="J2">
        <v>1141104</v>
      </c>
      <c r="K2">
        <v>1367</v>
      </c>
      <c r="L2" t="s">
        <v>607</v>
      </c>
      <c r="M2" t="s">
        <v>25</v>
      </c>
      <c r="N2" t="s">
        <v>605</v>
      </c>
      <c r="O2" t="s">
        <v>606</v>
      </c>
      <c r="P2">
        <v>175</v>
      </c>
      <c r="T2" t="s">
        <v>606</v>
      </c>
      <c r="Z2" t="s">
        <v>474</v>
      </c>
      <c r="AA2">
        <v>1</v>
      </c>
    </row>
    <row r="3" spans="1:27">
      <c r="A3" t="s">
        <v>1804</v>
      </c>
      <c r="B3" t="s">
        <v>17</v>
      </c>
      <c r="C3" t="s">
        <v>1806</v>
      </c>
      <c r="D3" t="s">
        <v>340</v>
      </c>
      <c r="E3" t="s">
        <v>341</v>
      </c>
      <c r="F3" t="s">
        <v>342</v>
      </c>
      <c r="G3">
        <v>55</v>
      </c>
      <c r="H3">
        <v>55747</v>
      </c>
      <c r="I3">
        <v>284</v>
      </c>
      <c r="J3">
        <v>1799688</v>
      </c>
      <c r="K3">
        <v>1188</v>
      </c>
      <c r="L3" t="s">
        <v>345</v>
      </c>
      <c r="M3" t="s">
        <v>25</v>
      </c>
      <c r="N3" t="s">
        <v>343</v>
      </c>
      <c r="O3" t="s">
        <v>344</v>
      </c>
      <c r="P3">
        <v>785</v>
      </c>
      <c r="Q3">
        <v>51</v>
      </c>
      <c r="R3">
        <v>55736</v>
      </c>
      <c r="S3">
        <v>284</v>
      </c>
      <c r="T3" t="s">
        <v>344</v>
      </c>
      <c r="U3">
        <v>-4</v>
      </c>
      <c r="V3">
        <v>11</v>
      </c>
      <c r="W3">
        <v>11</v>
      </c>
      <c r="X3">
        <v>0</v>
      </c>
      <c r="Y3">
        <v>1.9735897803932829E-2</v>
      </c>
      <c r="Z3" t="s">
        <v>18</v>
      </c>
      <c r="AA3">
        <v>1</v>
      </c>
    </row>
    <row r="4" spans="1:27">
      <c r="A4" t="s">
        <v>1804</v>
      </c>
      <c r="B4" t="s">
        <v>17</v>
      </c>
      <c r="C4" t="s">
        <v>1807</v>
      </c>
      <c r="D4" t="s">
        <v>590</v>
      </c>
      <c r="E4" t="s">
        <v>591</v>
      </c>
      <c r="F4" t="s">
        <v>592</v>
      </c>
      <c r="G4">
        <v>98</v>
      </c>
      <c r="H4">
        <v>46046</v>
      </c>
      <c r="I4">
        <v>158</v>
      </c>
      <c r="J4">
        <v>535555</v>
      </c>
      <c r="K4">
        <v>572</v>
      </c>
      <c r="L4" t="s">
        <v>595</v>
      </c>
      <c r="M4" t="s">
        <v>25</v>
      </c>
      <c r="N4" t="s">
        <v>593</v>
      </c>
      <c r="O4" t="s">
        <v>594</v>
      </c>
      <c r="P4">
        <v>245</v>
      </c>
      <c r="Q4">
        <v>97</v>
      </c>
      <c r="R4">
        <v>46043</v>
      </c>
      <c r="S4">
        <v>158</v>
      </c>
      <c r="T4" t="s">
        <v>594</v>
      </c>
      <c r="U4">
        <v>-1</v>
      </c>
      <c r="V4">
        <v>3</v>
      </c>
      <c r="W4">
        <v>3</v>
      </c>
      <c r="X4">
        <v>0</v>
      </c>
      <c r="Y4">
        <v>6.5156484156114938E-3</v>
      </c>
      <c r="Z4" t="s">
        <v>18</v>
      </c>
      <c r="AA4">
        <v>1</v>
      </c>
    </row>
    <row r="5" spans="1:27">
      <c r="A5" t="s">
        <v>1804</v>
      </c>
      <c r="B5" t="s">
        <v>17</v>
      </c>
      <c r="C5" t="s">
        <v>1808</v>
      </c>
      <c r="D5" t="s">
        <v>497</v>
      </c>
      <c r="E5" t="s">
        <v>498</v>
      </c>
      <c r="F5" t="s">
        <v>499</v>
      </c>
      <c r="G5">
        <v>82</v>
      </c>
      <c r="H5">
        <v>737</v>
      </c>
      <c r="I5">
        <v>49</v>
      </c>
      <c r="J5">
        <v>281079</v>
      </c>
      <c r="K5">
        <v>847</v>
      </c>
      <c r="L5" t="s">
        <v>502</v>
      </c>
      <c r="M5" t="s">
        <v>25</v>
      </c>
      <c r="N5" t="s">
        <v>500</v>
      </c>
      <c r="O5" t="s">
        <v>501</v>
      </c>
      <c r="P5">
        <v>366</v>
      </c>
      <c r="Q5">
        <v>77</v>
      </c>
      <c r="R5">
        <v>729</v>
      </c>
      <c r="S5">
        <v>49</v>
      </c>
      <c r="T5" t="s">
        <v>501</v>
      </c>
      <c r="U5">
        <v>-5</v>
      </c>
      <c r="V5">
        <v>8</v>
      </c>
      <c r="W5">
        <v>8</v>
      </c>
      <c r="X5">
        <v>0</v>
      </c>
      <c r="Y5">
        <v>1.097393689986282</v>
      </c>
      <c r="Z5" t="s">
        <v>18</v>
      </c>
      <c r="AA5">
        <v>1</v>
      </c>
    </row>
    <row r="6" spans="1:27">
      <c r="A6" t="s">
        <v>1804</v>
      </c>
      <c r="B6" t="s">
        <v>17</v>
      </c>
      <c r="C6" t="s">
        <v>1809</v>
      </c>
      <c r="D6" t="s">
        <v>369</v>
      </c>
      <c r="E6" t="s">
        <v>370</v>
      </c>
      <c r="F6" t="s">
        <v>371</v>
      </c>
      <c r="G6">
        <v>60</v>
      </c>
      <c r="H6">
        <v>32784</v>
      </c>
      <c r="I6">
        <v>212</v>
      </c>
      <c r="J6">
        <v>960297</v>
      </c>
      <c r="K6">
        <v>511</v>
      </c>
      <c r="L6" t="s">
        <v>374</v>
      </c>
      <c r="M6" t="s">
        <v>25</v>
      </c>
      <c r="N6" t="s">
        <v>372</v>
      </c>
      <c r="O6" t="s">
        <v>373</v>
      </c>
      <c r="P6">
        <v>674</v>
      </c>
      <c r="Q6">
        <v>60</v>
      </c>
      <c r="R6">
        <v>32751</v>
      </c>
      <c r="S6">
        <v>212</v>
      </c>
      <c r="T6" t="s">
        <v>373</v>
      </c>
      <c r="U6">
        <v>0</v>
      </c>
      <c r="V6">
        <v>33</v>
      </c>
      <c r="W6">
        <v>33</v>
      </c>
      <c r="X6">
        <v>0</v>
      </c>
      <c r="Y6">
        <v>0.10076028212879</v>
      </c>
      <c r="Z6" t="s">
        <v>18</v>
      </c>
      <c r="AA6">
        <v>1</v>
      </c>
    </row>
    <row r="7" spans="1:27">
      <c r="A7" t="s">
        <v>1804</v>
      </c>
      <c r="B7" t="s">
        <v>17</v>
      </c>
      <c r="C7" t="s">
        <v>1810</v>
      </c>
      <c r="D7" t="s">
        <v>439</v>
      </c>
      <c r="E7" t="s">
        <v>440</v>
      </c>
      <c r="F7" t="s">
        <v>441</v>
      </c>
      <c r="G7">
        <v>72</v>
      </c>
      <c r="H7">
        <v>23452</v>
      </c>
      <c r="I7">
        <v>301</v>
      </c>
      <c r="J7">
        <v>910312</v>
      </c>
      <c r="K7">
        <v>527</v>
      </c>
      <c r="L7" t="s">
        <v>444</v>
      </c>
      <c r="M7" t="s">
        <v>25</v>
      </c>
      <c r="N7" t="s">
        <v>442</v>
      </c>
      <c r="O7" t="s">
        <v>443</v>
      </c>
      <c r="P7">
        <v>227</v>
      </c>
      <c r="Q7">
        <v>73</v>
      </c>
      <c r="R7">
        <v>23449</v>
      </c>
      <c r="S7">
        <v>301</v>
      </c>
      <c r="T7" t="s">
        <v>443</v>
      </c>
      <c r="U7">
        <v>1</v>
      </c>
      <c r="V7">
        <v>3</v>
      </c>
      <c r="W7">
        <v>3</v>
      </c>
      <c r="X7">
        <v>0</v>
      </c>
      <c r="Y7">
        <v>1.27937225468037E-2</v>
      </c>
      <c r="Z7" t="s">
        <v>18</v>
      </c>
      <c r="AA7">
        <v>1</v>
      </c>
    </row>
    <row r="8" spans="1:27">
      <c r="A8" t="s">
        <v>1804</v>
      </c>
      <c r="B8" t="s">
        <v>17</v>
      </c>
      <c r="C8" t="s">
        <v>1811</v>
      </c>
      <c r="D8" t="s">
        <v>386</v>
      </c>
      <c r="E8" t="s">
        <v>387</v>
      </c>
      <c r="F8" t="s">
        <v>388</v>
      </c>
      <c r="G8">
        <v>63</v>
      </c>
      <c r="H8">
        <v>8631</v>
      </c>
      <c r="I8">
        <v>135</v>
      </c>
      <c r="J8">
        <v>808268</v>
      </c>
      <c r="K8">
        <v>517</v>
      </c>
      <c r="L8" t="s">
        <v>391</v>
      </c>
      <c r="M8" t="s">
        <v>25</v>
      </c>
      <c r="N8" t="s">
        <v>389</v>
      </c>
      <c r="O8" t="s">
        <v>390</v>
      </c>
      <c r="P8">
        <v>377</v>
      </c>
      <c r="Q8">
        <v>59</v>
      </c>
      <c r="R8">
        <v>8622</v>
      </c>
      <c r="S8">
        <v>135</v>
      </c>
      <c r="T8" t="s">
        <v>390</v>
      </c>
      <c r="U8">
        <v>-4</v>
      </c>
      <c r="V8">
        <v>9</v>
      </c>
      <c r="W8">
        <v>9</v>
      </c>
      <c r="X8">
        <v>0</v>
      </c>
      <c r="Y8">
        <v>0.10438413361169099</v>
      </c>
      <c r="Z8" t="s">
        <v>18</v>
      </c>
      <c r="AA8">
        <v>1</v>
      </c>
    </row>
    <row r="9" spans="1:27">
      <c r="A9" t="s">
        <v>1804</v>
      </c>
      <c r="B9" t="s">
        <v>17</v>
      </c>
      <c r="C9" t="s">
        <v>1812</v>
      </c>
      <c r="D9" t="s">
        <v>468</v>
      </c>
      <c r="E9" t="s">
        <v>469</v>
      </c>
      <c r="F9" t="s">
        <v>470</v>
      </c>
      <c r="G9">
        <v>77</v>
      </c>
      <c r="H9">
        <v>4617</v>
      </c>
      <c r="I9">
        <v>344</v>
      </c>
      <c r="J9">
        <v>1252814</v>
      </c>
      <c r="K9">
        <v>337</v>
      </c>
      <c r="L9" t="s">
        <v>473</v>
      </c>
      <c r="M9" t="s">
        <v>25</v>
      </c>
      <c r="N9" t="s">
        <v>471</v>
      </c>
      <c r="O9" t="s">
        <v>472</v>
      </c>
      <c r="P9">
        <v>245</v>
      </c>
      <c r="Q9">
        <v>75</v>
      </c>
      <c r="R9">
        <v>4605</v>
      </c>
      <c r="S9">
        <v>343</v>
      </c>
      <c r="T9" t="s">
        <v>472</v>
      </c>
      <c r="U9">
        <v>-2</v>
      </c>
      <c r="V9">
        <v>12</v>
      </c>
      <c r="W9">
        <v>12</v>
      </c>
      <c r="X9">
        <v>1</v>
      </c>
      <c r="Y9">
        <v>0.26058631921824099</v>
      </c>
      <c r="Z9" t="s">
        <v>18</v>
      </c>
      <c r="AA9">
        <v>1</v>
      </c>
    </row>
    <row r="10" spans="1:27">
      <c r="A10" t="s">
        <v>1804</v>
      </c>
      <c r="B10" t="s">
        <v>17</v>
      </c>
      <c r="C10" t="s">
        <v>1813</v>
      </c>
      <c r="D10" t="s">
        <v>204</v>
      </c>
      <c r="E10" t="s">
        <v>205</v>
      </c>
      <c r="F10" t="s">
        <v>206</v>
      </c>
      <c r="G10">
        <v>32</v>
      </c>
      <c r="H10">
        <v>1851</v>
      </c>
      <c r="I10">
        <v>259</v>
      </c>
      <c r="J10">
        <v>592050</v>
      </c>
      <c r="K10">
        <v>489</v>
      </c>
      <c r="L10" t="s">
        <v>209</v>
      </c>
      <c r="M10" t="s">
        <v>25</v>
      </c>
      <c r="N10" t="s">
        <v>207</v>
      </c>
      <c r="O10" t="s">
        <v>208</v>
      </c>
      <c r="P10">
        <v>407</v>
      </c>
      <c r="Q10">
        <v>35</v>
      </c>
      <c r="R10">
        <v>1836</v>
      </c>
      <c r="S10">
        <v>258</v>
      </c>
      <c r="T10" t="s">
        <v>208</v>
      </c>
      <c r="U10">
        <v>3</v>
      </c>
      <c r="V10">
        <v>15</v>
      </c>
      <c r="W10">
        <v>15</v>
      </c>
      <c r="X10">
        <v>1</v>
      </c>
      <c r="Y10">
        <v>0.81699346405228768</v>
      </c>
      <c r="Z10" t="s">
        <v>18</v>
      </c>
      <c r="AA10">
        <v>1</v>
      </c>
    </row>
    <row r="11" spans="1:27">
      <c r="A11" t="s">
        <v>1804</v>
      </c>
      <c r="B11" t="s">
        <v>17</v>
      </c>
      <c r="C11" t="s">
        <v>1814</v>
      </c>
      <c r="D11" t="s">
        <v>462</v>
      </c>
      <c r="E11" t="s">
        <v>463</v>
      </c>
      <c r="F11" t="s">
        <v>464</v>
      </c>
      <c r="G11">
        <v>76</v>
      </c>
      <c r="H11">
        <v>7719</v>
      </c>
      <c r="I11">
        <v>62</v>
      </c>
      <c r="J11">
        <v>300099</v>
      </c>
      <c r="K11">
        <v>159</v>
      </c>
      <c r="L11" t="s">
        <v>467</v>
      </c>
      <c r="M11" t="s">
        <v>25</v>
      </c>
      <c r="N11" t="s">
        <v>465</v>
      </c>
      <c r="O11" t="s">
        <v>466</v>
      </c>
      <c r="P11">
        <v>373</v>
      </c>
      <c r="Q11">
        <v>78</v>
      </c>
      <c r="R11">
        <v>7698</v>
      </c>
      <c r="S11">
        <v>62</v>
      </c>
      <c r="T11" t="s">
        <v>466</v>
      </c>
      <c r="U11">
        <v>2</v>
      </c>
      <c r="V11">
        <v>21</v>
      </c>
      <c r="W11">
        <v>21</v>
      </c>
      <c r="X11">
        <v>0</v>
      </c>
      <c r="Y11">
        <v>0.27279812938425568</v>
      </c>
      <c r="Z11" t="s">
        <v>18</v>
      </c>
      <c r="AA11">
        <v>1</v>
      </c>
    </row>
    <row r="12" spans="1:27">
      <c r="A12" t="s">
        <v>1804</v>
      </c>
      <c r="B12" t="s">
        <v>17</v>
      </c>
      <c r="C12" t="s">
        <v>1815</v>
      </c>
      <c r="D12" t="s">
        <v>578</v>
      </c>
      <c r="E12" t="s">
        <v>579</v>
      </c>
      <c r="F12" t="s">
        <v>580</v>
      </c>
      <c r="G12">
        <v>96</v>
      </c>
      <c r="H12">
        <v>1481</v>
      </c>
      <c r="I12">
        <v>101</v>
      </c>
      <c r="J12">
        <v>259317</v>
      </c>
      <c r="K12">
        <v>99</v>
      </c>
      <c r="L12" t="s">
        <v>583</v>
      </c>
      <c r="M12" t="s">
        <v>25</v>
      </c>
      <c r="N12" t="s">
        <v>581</v>
      </c>
      <c r="O12" t="s">
        <v>582</v>
      </c>
      <c r="P12">
        <v>415</v>
      </c>
      <c r="Q12">
        <v>94</v>
      </c>
      <c r="R12">
        <v>1475</v>
      </c>
      <c r="S12">
        <v>100</v>
      </c>
      <c r="T12" t="s">
        <v>582</v>
      </c>
      <c r="U12">
        <v>-2</v>
      </c>
      <c r="V12">
        <v>6</v>
      </c>
      <c r="W12">
        <v>6</v>
      </c>
      <c r="X12">
        <v>1</v>
      </c>
      <c r="Y12">
        <v>0.40677966101694918</v>
      </c>
      <c r="Z12" t="s">
        <v>18</v>
      </c>
      <c r="AA12">
        <v>1</v>
      </c>
    </row>
    <row r="13" spans="1:27">
      <c r="A13" t="s">
        <v>1804</v>
      </c>
      <c r="B13" t="s">
        <v>17</v>
      </c>
      <c r="C13" t="s">
        <v>1816</v>
      </c>
      <c r="D13" t="s">
        <v>544</v>
      </c>
      <c r="E13" t="s">
        <v>545</v>
      </c>
      <c r="F13" t="s">
        <v>546</v>
      </c>
      <c r="G13">
        <v>90</v>
      </c>
      <c r="H13">
        <v>2939</v>
      </c>
      <c r="I13">
        <v>107</v>
      </c>
      <c r="J13">
        <v>612915</v>
      </c>
      <c r="K13">
        <v>141</v>
      </c>
      <c r="L13" t="s">
        <v>549</v>
      </c>
      <c r="M13" t="s">
        <v>25</v>
      </c>
      <c r="N13" t="s">
        <v>547</v>
      </c>
      <c r="O13" t="s">
        <v>548</v>
      </c>
      <c r="P13">
        <v>211</v>
      </c>
      <c r="Q13">
        <v>84</v>
      </c>
      <c r="R13">
        <v>2939</v>
      </c>
      <c r="S13">
        <v>107</v>
      </c>
      <c r="T13" t="s">
        <v>548</v>
      </c>
      <c r="U13">
        <v>-6</v>
      </c>
      <c r="V13">
        <v>0</v>
      </c>
      <c r="W13">
        <v>0</v>
      </c>
      <c r="X13">
        <v>0</v>
      </c>
      <c r="Y13">
        <v>0</v>
      </c>
      <c r="Z13" t="s">
        <v>18</v>
      </c>
      <c r="AA13">
        <v>1</v>
      </c>
    </row>
    <row r="14" spans="1:27">
      <c r="A14" t="s">
        <v>1804</v>
      </c>
      <c r="B14" t="s">
        <v>17</v>
      </c>
      <c r="C14" t="s">
        <v>1817</v>
      </c>
      <c r="D14" t="s">
        <v>164</v>
      </c>
      <c r="E14" t="s">
        <v>165</v>
      </c>
      <c r="F14" t="s">
        <v>166</v>
      </c>
      <c r="G14">
        <v>25</v>
      </c>
      <c r="H14">
        <v>1612</v>
      </c>
      <c r="I14">
        <v>47</v>
      </c>
      <c r="J14">
        <v>133431</v>
      </c>
      <c r="K14">
        <v>46</v>
      </c>
      <c r="L14" t="s">
        <v>169</v>
      </c>
      <c r="M14" t="s">
        <v>25</v>
      </c>
      <c r="N14" t="s">
        <v>167</v>
      </c>
      <c r="O14" t="s">
        <v>168</v>
      </c>
      <c r="P14">
        <v>368</v>
      </c>
      <c r="Q14">
        <v>26</v>
      </c>
      <c r="R14">
        <v>1568</v>
      </c>
      <c r="S14">
        <v>46</v>
      </c>
      <c r="T14" t="s">
        <v>168</v>
      </c>
      <c r="U14">
        <v>1</v>
      </c>
      <c r="V14">
        <v>44</v>
      </c>
      <c r="W14">
        <v>44</v>
      </c>
      <c r="X14">
        <v>1</v>
      </c>
      <c r="Y14">
        <v>2.806122448979592</v>
      </c>
      <c r="Z14" t="s">
        <v>18</v>
      </c>
      <c r="AA14">
        <v>1</v>
      </c>
    </row>
    <row r="15" spans="1:27">
      <c r="A15" t="s">
        <v>1804</v>
      </c>
      <c r="B15" t="s">
        <v>17</v>
      </c>
      <c r="C15" t="s">
        <v>1818</v>
      </c>
      <c r="D15" t="s">
        <v>392</v>
      </c>
      <c r="E15" t="s">
        <v>393</v>
      </c>
      <c r="F15" t="s">
        <v>394</v>
      </c>
      <c r="G15">
        <v>64</v>
      </c>
      <c r="H15">
        <v>1270</v>
      </c>
      <c r="I15">
        <v>134</v>
      </c>
      <c r="J15">
        <v>468452</v>
      </c>
      <c r="K15">
        <v>132</v>
      </c>
      <c r="L15" t="s">
        <v>397</v>
      </c>
      <c r="M15" t="s">
        <v>25</v>
      </c>
      <c r="N15" t="s">
        <v>395</v>
      </c>
      <c r="O15" t="s">
        <v>396</v>
      </c>
      <c r="P15">
        <v>212</v>
      </c>
      <c r="Q15">
        <v>65</v>
      </c>
      <c r="R15">
        <v>1247</v>
      </c>
      <c r="S15">
        <v>133</v>
      </c>
      <c r="T15" t="s">
        <v>396</v>
      </c>
      <c r="U15">
        <v>1</v>
      </c>
      <c r="V15">
        <v>23</v>
      </c>
      <c r="W15">
        <v>23</v>
      </c>
      <c r="X15">
        <v>1</v>
      </c>
      <c r="Y15">
        <v>1.8444266238973539</v>
      </c>
      <c r="Z15" t="s">
        <v>18</v>
      </c>
      <c r="AA15">
        <v>1</v>
      </c>
    </row>
    <row r="16" spans="1:27">
      <c r="A16" t="s">
        <v>1804</v>
      </c>
      <c r="B16" t="s">
        <v>17</v>
      </c>
      <c r="C16" t="s">
        <v>1819</v>
      </c>
      <c r="D16" t="s">
        <v>57</v>
      </c>
      <c r="E16" t="s">
        <v>58</v>
      </c>
      <c r="F16" t="s">
        <v>59</v>
      </c>
      <c r="G16">
        <v>7</v>
      </c>
      <c r="H16">
        <v>1259</v>
      </c>
      <c r="I16">
        <v>35</v>
      </c>
      <c r="J16">
        <v>84223</v>
      </c>
      <c r="K16">
        <v>21</v>
      </c>
      <c r="L16" t="s">
        <v>62</v>
      </c>
      <c r="M16" t="s">
        <v>25</v>
      </c>
      <c r="N16" t="s">
        <v>60</v>
      </c>
      <c r="O16" t="s">
        <v>61</v>
      </c>
      <c r="P16">
        <v>470</v>
      </c>
      <c r="Q16">
        <v>7</v>
      </c>
      <c r="R16">
        <v>1165</v>
      </c>
      <c r="S16">
        <v>34</v>
      </c>
      <c r="T16" t="s">
        <v>61</v>
      </c>
      <c r="U16">
        <v>0</v>
      </c>
      <c r="V16">
        <v>94</v>
      </c>
      <c r="W16">
        <v>94</v>
      </c>
      <c r="X16">
        <v>1</v>
      </c>
      <c r="Y16">
        <v>8.0686695278969953</v>
      </c>
      <c r="Z16" t="s">
        <v>18</v>
      </c>
      <c r="AA16">
        <v>1</v>
      </c>
    </row>
    <row r="17" spans="1:27">
      <c r="A17" t="s">
        <v>1804</v>
      </c>
      <c r="B17" t="s">
        <v>17</v>
      </c>
      <c r="C17" t="s">
        <v>1820</v>
      </c>
      <c r="D17" t="s">
        <v>456</v>
      </c>
      <c r="E17" t="s">
        <v>457</v>
      </c>
      <c r="F17" t="s">
        <v>458</v>
      </c>
      <c r="G17">
        <v>75</v>
      </c>
      <c r="H17">
        <v>225</v>
      </c>
      <c r="I17">
        <v>22</v>
      </c>
      <c r="J17">
        <v>72521</v>
      </c>
      <c r="K17">
        <v>19</v>
      </c>
      <c r="L17" t="s">
        <v>461</v>
      </c>
      <c r="M17" t="s">
        <v>25</v>
      </c>
      <c r="N17" t="s">
        <v>459</v>
      </c>
      <c r="O17" t="s">
        <v>460</v>
      </c>
      <c r="P17">
        <v>690</v>
      </c>
      <c r="Q17">
        <v>72</v>
      </c>
      <c r="R17">
        <v>217</v>
      </c>
      <c r="S17">
        <v>21</v>
      </c>
      <c r="T17" t="s">
        <v>460</v>
      </c>
      <c r="U17">
        <v>-3</v>
      </c>
      <c r="V17">
        <v>8</v>
      </c>
      <c r="W17">
        <v>8</v>
      </c>
      <c r="X17">
        <v>1</v>
      </c>
      <c r="Y17">
        <v>3.6866359447004609</v>
      </c>
      <c r="Z17" t="s">
        <v>18</v>
      </c>
      <c r="AA17">
        <v>1</v>
      </c>
    </row>
    <row r="18" spans="1:27">
      <c r="A18" t="s">
        <v>1804</v>
      </c>
      <c r="B18" t="s">
        <v>17</v>
      </c>
      <c r="C18" t="s">
        <v>1821</v>
      </c>
      <c r="D18" t="s">
        <v>445</v>
      </c>
      <c r="E18" t="s">
        <v>82</v>
      </c>
      <c r="F18" t="s">
        <v>446</v>
      </c>
      <c r="G18">
        <v>73</v>
      </c>
      <c r="H18">
        <v>9179</v>
      </c>
      <c r="I18">
        <v>72</v>
      </c>
      <c r="J18">
        <v>279191</v>
      </c>
      <c r="K18">
        <v>102</v>
      </c>
      <c r="L18" t="s">
        <v>449</v>
      </c>
      <c r="M18" t="s">
        <v>25</v>
      </c>
      <c r="N18" t="s">
        <v>447</v>
      </c>
      <c r="O18" t="s">
        <v>448</v>
      </c>
      <c r="P18">
        <v>364</v>
      </c>
      <c r="Q18">
        <v>74</v>
      </c>
      <c r="R18">
        <v>9171</v>
      </c>
      <c r="S18">
        <v>71</v>
      </c>
      <c r="T18" t="s">
        <v>448</v>
      </c>
      <c r="U18">
        <v>1</v>
      </c>
      <c r="V18">
        <v>8</v>
      </c>
      <c r="W18">
        <v>8</v>
      </c>
      <c r="X18">
        <v>1</v>
      </c>
      <c r="Y18">
        <v>8.723149056809508E-2</v>
      </c>
      <c r="Z18" t="s">
        <v>18</v>
      </c>
      <c r="AA18">
        <v>1</v>
      </c>
    </row>
    <row r="19" spans="1:27">
      <c r="A19" t="s">
        <v>1804</v>
      </c>
      <c r="B19" t="s">
        <v>17</v>
      </c>
      <c r="C19" t="s">
        <v>1822</v>
      </c>
      <c r="D19" t="s">
        <v>81</v>
      </c>
      <c r="E19" t="s">
        <v>82</v>
      </c>
      <c r="F19" t="s">
        <v>83</v>
      </c>
      <c r="G19">
        <v>11</v>
      </c>
      <c r="H19">
        <v>3605</v>
      </c>
      <c r="I19">
        <v>41</v>
      </c>
      <c r="J19">
        <v>156617</v>
      </c>
      <c r="K19">
        <v>40</v>
      </c>
      <c r="L19" t="s">
        <v>86</v>
      </c>
      <c r="M19" t="s">
        <v>25</v>
      </c>
      <c r="N19" t="s">
        <v>84</v>
      </c>
      <c r="O19" t="s">
        <v>85</v>
      </c>
      <c r="P19">
        <v>473</v>
      </c>
      <c r="Q19">
        <v>11</v>
      </c>
      <c r="R19">
        <v>3570</v>
      </c>
      <c r="S19">
        <v>40</v>
      </c>
      <c r="T19" t="s">
        <v>85</v>
      </c>
      <c r="U19">
        <v>0</v>
      </c>
      <c r="V19">
        <v>35</v>
      </c>
      <c r="W19">
        <v>35</v>
      </c>
      <c r="X19">
        <v>1</v>
      </c>
      <c r="Y19">
        <v>0.98039215686274506</v>
      </c>
      <c r="Z19" t="s">
        <v>18</v>
      </c>
      <c r="AA19">
        <v>1</v>
      </c>
    </row>
    <row r="20" spans="1:27">
      <c r="A20" t="s">
        <v>1804</v>
      </c>
      <c r="B20" t="s">
        <v>17</v>
      </c>
      <c r="C20" t="s">
        <v>1823</v>
      </c>
      <c r="D20" t="s">
        <v>198</v>
      </c>
      <c r="E20" t="s">
        <v>199</v>
      </c>
      <c r="F20" t="s">
        <v>200</v>
      </c>
      <c r="G20">
        <v>31</v>
      </c>
      <c r="H20">
        <v>1076</v>
      </c>
      <c r="I20">
        <v>56</v>
      </c>
      <c r="J20">
        <v>150735</v>
      </c>
      <c r="K20">
        <v>55</v>
      </c>
      <c r="L20" t="s">
        <v>203</v>
      </c>
      <c r="M20" t="s">
        <v>25</v>
      </c>
      <c r="N20" t="s">
        <v>201</v>
      </c>
      <c r="O20" t="s">
        <v>202</v>
      </c>
      <c r="P20">
        <v>450</v>
      </c>
      <c r="Q20">
        <v>31</v>
      </c>
      <c r="R20">
        <v>1064</v>
      </c>
      <c r="S20">
        <v>55</v>
      </c>
      <c r="T20" t="s">
        <v>202</v>
      </c>
      <c r="U20">
        <v>0</v>
      </c>
      <c r="V20">
        <v>12</v>
      </c>
      <c r="W20">
        <v>12</v>
      </c>
      <c r="X20">
        <v>1</v>
      </c>
      <c r="Y20">
        <v>1.1278195488721801</v>
      </c>
      <c r="Z20" t="s">
        <v>18</v>
      </c>
      <c r="AA20">
        <v>1</v>
      </c>
    </row>
    <row r="21" spans="1:27">
      <c r="A21" t="s">
        <v>1804</v>
      </c>
      <c r="B21" t="s">
        <v>17</v>
      </c>
      <c r="C21" t="s">
        <v>1824</v>
      </c>
      <c r="D21" t="s">
        <v>409</v>
      </c>
      <c r="E21" t="s">
        <v>410</v>
      </c>
      <c r="F21" t="s">
        <v>411</v>
      </c>
      <c r="G21">
        <v>67</v>
      </c>
      <c r="H21">
        <v>1886</v>
      </c>
      <c r="I21">
        <v>48</v>
      </c>
      <c r="J21">
        <v>165252</v>
      </c>
      <c r="K21">
        <v>88</v>
      </c>
      <c r="L21" t="s">
        <v>414</v>
      </c>
      <c r="M21" t="s">
        <v>25</v>
      </c>
      <c r="N21" t="s">
        <v>412</v>
      </c>
      <c r="O21" t="s">
        <v>413</v>
      </c>
      <c r="P21">
        <v>324</v>
      </c>
      <c r="Q21">
        <v>67</v>
      </c>
      <c r="R21">
        <v>1870</v>
      </c>
      <c r="S21">
        <v>48</v>
      </c>
      <c r="T21" t="s">
        <v>413</v>
      </c>
      <c r="U21">
        <v>0</v>
      </c>
      <c r="V21">
        <v>16</v>
      </c>
      <c r="W21">
        <v>16</v>
      </c>
      <c r="X21">
        <v>0</v>
      </c>
      <c r="Y21">
        <v>0.85561497326203206</v>
      </c>
      <c r="Z21" t="s">
        <v>18</v>
      </c>
      <c r="AA21">
        <v>1</v>
      </c>
    </row>
    <row r="22" spans="1:27">
      <c r="A22" t="s">
        <v>1804</v>
      </c>
      <c r="B22" t="s">
        <v>17</v>
      </c>
      <c r="C22" t="s">
        <v>1825</v>
      </c>
      <c r="D22" t="s">
        <v>176</v>
      </c>
      <c r="E22" t="s">
        <v>20</v>
      </c>
      <c r="F22" t="s">
        <v>177</v>
      </c>
      <c r="G22">
        <v>27</v>
      </c>
      <c r="H22">
        <v>13296</v>
      </c>
      <c r="I22">
        <v>76</v>
      </c>
      <c r="J22">
        <v>176721</v>
      </c>
      <c r="K22">
        <v>73</v>
      </c>
      <c r="L22" t="s">
        <v>180</v>
      </c>
      <c r="M22" t="s">
        <v>44</v>
      </c>
      <c r="N22" t="s">
        <v>178</v>
      </c>
      <c r="O22" t="s">
        <v>179</v>
      </c>
      <c r="P22">
        <v>288</v>
      </c>
      <c r="Q22">
        <v>32</v>
      </c>
      <c r="R22">
        <v>13174</v>
      </c>
      <c r="S22">
        <v>76</v>
      </c>
      <c r="T22" t="s">
        <v>179</v>
      </c>
      <c r="U22">
        <v>5</v>
      </c>
      <c r="V22">
        <v>122</v>
      </c>
      <c r="W22">
        <v>122</v>
      </c>
      <c r="X22">
        <v>0</v>
      </c>
      <c r="Y22">
        <v>0.92606649461059665</v>
      </c>
      <c r="Z22" t="s">
        <v>18</v>
      </c>
      <c r="AA22">
        <v>1</v>
      </c>
    </row>
    <row r="23" spans="1:27">
      <c r="A23" t="s">
        <v>1804</v>
      </c>
      <c r="B23" t="s">
        <v>17</v>
      </c>
      <c r="C23" t="s">
        <v>1826</v>
      </c>
      <c r="D23" t="s">
        <v>509</v>
      </c>
      <c r="E23" t="s">
        <v>510</v>
      </c>
      <c r="F23" t="s">
        <v>511</v>
      </c>
      <c r="G23">
        <v>84</v>
      </c>
      <c r="H23">
        <v>924</v>
      </c>
      <c r="I23">
        <v>72</v>
      </c>
      <c r="J23">
        <v>131800</v>
      </c>
      <c r="K23">
        <v>67</v>
      </c>
      <c r="L23" t="s">
        <v>514</v>
      </c>
      <c r="M23" t="s">
        <v>25</v>
      </c>
      <c r="N23" t="s">
        <v>512</v>
      </c>
      <c r="O23" t="s">
        <v>513</v>
      </c>
      <c r="P23">
        <v>227</v>
      </c>
      <c r="Q23">
        <v>79</v>
      </c>
      <c r="R23">
        <v>917</v>
      </c>
      <c r="S23">
        <v>71</v>
      </c>
      <c r="T23" t="s">
        <v>513</v>
      </c>
      <c r="U23">
        <v>-5</v>
      </c>
      <c r="V23">
        <v>7</v>
      </c>
      <c r="W23">
        <v>7</v>
      </c>
      <c r="X23">
        <v>1</v>
      </c>
      <c r="Y23">
        <v>0.76335877862595414</v>
      </c>
      <c r="Z23" t="s">
        <v>18</v>
      </c>
      <c r="AA23">
        <v>1</v>
      </c>
    </row>
    <row r="24" spans="1:27">
      <c r="A24" t="s">
        <v>1804</v>
      </c>
      <c r="B24" t="s">
        <v>17</v>
      </c>
      <c r="C24" t="s">
        <v>1827</v>
      </c>
      <c r="D24" t="s">
        <v>532</v>
      </c>
      <c r="E24" t="s">
        <v>533</v>
      </c>
      <c r="F24" t="s">
        <v>534</v>
      </c>
      <c r="G24">
        <v>88</v>
      </c>
      <c r="H24">
        <v>2327</v>
      </c>
      <c r="I24">
        <v>84</v>
      </c>
      <c r="J24">
        <v>272969</v>
      </c>
      <c r="K24">
        <v>78</v>
      </c>
      <c r="L24" t="s">
        <v>537</v>
      </c>
      <c r="M24" t="s">
        <v>25</v>
      </c>
      <c r="N24" t="s">
        <v>535</v>
      </c>
      <c r="O24" t="s">
        <v>536</v>
      </c>
      <c r="P24">
        <v>794</v>
      </c>
      <c r="Q24">
        <v>100</v>
      </c>
      <c r="R24">
        <v>2312</v>
      </c>
      <c r="S24">
        <v>84</v>
      </c>
      <c r="T24" t="s">
        <v>536</v>
      </c>
      <c r="U24">
        <v>12</v>
      </c>
      <c r="V24">
        <v>15</v>
      </c>
      <c r="W24">
        <v>15</v>
      </c>
      <c r="X24">
        <v>0</v>
      </c>
      <c r="Y24">
        <v>0.64878892733564009</v>
      </c>
      <c r="Z24" t="s">
        <v>18</v>
      </c>
      <c r="AA24">
        <v>1</v>
      </c>
    </row>
    <row r="25" spans="1:27">
      <c r="A25" t="s">
        <v>1804</v>
      </c>
      <c r="B25" t="s">
        <v>17</v>
      </c>
      <c r="C25" t="s">
        <v>1828</v>
      </c>
      <c r="D25" t="s">
        <v>263</v>
      </c>
      <c r="E25" t="s">
        <v>264</v>
      </c>
      <c r="F25" t="s">
        <v>265</v>
      </c>
      <c r="G25">
        <v>42</v>
      </c>
      <c r="H25">
        <v>1222</v>
      </c>
      <c r="I25">
        <v>457</v>
      </c>
      <c r="J25">
        <v>1924864</v>
      </c>
      <c r="K25">
        <v>77</v>
      </c>
      <c r="L25" t="s">
        <v>268</v>
      </c>
      <c r="M25" t="s">
        <v>25</v>
      </c>
      <c r="N25" t="s">
        <v>266</v>
      </c>
      <c r="O25" t="s">
        <v>267</v>
      </c>
      <c r="P25">
        <v>500</v>
      </c>
      <c r="Q25">
        <v>54</v>
      </c>
      <c r="R25">
        <v>1203</v>
      </c>
      <c r="S25">
        <v>455</v>
      </c>
      <c r="T25" t="s">
        <v>267</v>
      </c>
      <c r="U25">
        <v>12</v>
      </c>
      <c r="V25">
        <v>19</v>
      </c>
      <c r="W25">
        <v>19</v>
      </c>
      <c r="X25">
        <v>2</v>
      </c>
      <c r="Y25">
        <v>1.579384871155445</v>
      </c>
      <c r="Z25" t="s">
        <v>18</v>
      </c>
      <c r="AA25">
        <v>1</v>
      </c>
    </row>
    <row r="26" spans="1:27">
      <c r="A26" t="s">
        <v>1804</v>
      </c>
      <c r="B26" t="s">
        <v>17</v>
      </c>
      <c r="C26" t="s">
        <v>1829</v>
      </c>
      <c r="D26" t="s">
        <v>561</v>
      </c>
      <c r="E26" t="s">
        <v>353</v>
      </c>
      <c r="F26" t="s">
        <v>562</v>
      </c>
      <c r="G26">
        <v>93</v>
      </c>
      <c r="H26">
        <v>1426</v>
      </c>
      <c r="I26">
        <v>238</v>
      </c>
      <c r="J26">
        <v>487316</v>
      </c>
      <c r="K26">
        <v>75</v>
      </c>
      <c r="L26" t="s">
        <v>565</v>
      </c>
      <c r="M26" t="s">
        <v>25</v>
      </c>
      <c r="N26" t="s">
        <v>563</v>
      </c>
      <c r="O26" t="s">
        <v>564</v>
      </c>
      <c r="P26">
        <v>533</v>
      </c>
      <c r="Q26">
        <v>95</v>
      </c>
      <c r="R26">
        <v>1424</v>
      </c>
      <c r="S26">
        <v>234</v>
      </c>
      <c r="T26" t="s">
        <v>564</v>
      </c>
      <c r="U26">
        <v>2</v>
      </c>
      <c r="V26">
        <v>2</v>
      </c>
      <c r="W26">
        <v>2</v>
      </c>
      <c r="X26">
        <v>4</v>
      </c>
      <c r="Y26">
        <v>0.1404494382022472</v>
      </c>
      <c r="Z26" t="s">
        <v>18</v>
      </c>
      <c r="AA26">
        <v>1</v>
      </c>
    </row>
    <row r="27" spans="1:27">
      <c r="A27" t="s">
        <v>1804</v>
      </c>
      <c r="B27" t="s">
        <v>17</v>
      </c>
      <c r="C27" t="s">
        <v>1830</v>
      </c>
      <c r="D27" t="s">
        <v>299</v>
      </c>
      <c r="E27" t="s">
        <v>300</v>
      </c>
      <c r="F27" t="s">
        <v>301</v>
      </c>
      <c r="G27">
        <v>48</v>
      </c>
      <c r="H27">
        <v>13890</v>
      </c>
      <c r="I27">
        <v>81</v>
      </c>
      <c r="J27">
        <v>410652</v>
      </c>
      <c r="K27">
        <v>68</v>
      </c>
      <c r="L27" t="s">
        <v>304</v>
      </c>
      <c r="M27" t="s">
        <v>25</v>
      </c>
      <c r="N27" t="s">
        <v>302</v>
      </c>
      <c r="O27" t="s">
        <v>303</v>
      </c>
      <c r="P27">
        <v>648</v>
      </c>
      <c r="Q27">
        <v>47</v>
      </c>
      <c r="R27">
        <v>13882</v>
      </c>
      <c r="S27">
        <v>81</v>
      </c>
      <c r="T27" t="s">
        <v>303</v>
      </c>
      <c r="U27">
        <v>-1</v>
      </c>
      <c r="V27">
        <v>8</v>
      </c>
      <c r="W27">
        <v>8</v>
      </c>
      <c r="X27">
        <v>0</v>
      </c>
      <c r="Y27">
        <v>5.7628583777553671E-2</v>
      </c>
      <c r="Z27" t="s">
        <v>18</v>
      </c>
      <c r="AA27">
        <v>1</v>
      </c>
    </row>
    <row r="28" spans="1:27">
      <c r="A28" t="s">
        <v>1804</v>
      </c>
      <c r="B28" t="s">
        <v>17</v>
      </c>
      <c r="C28" t="s">
        <v>1831</v>
      </c>
      <c r="D28" t="s">
        <v>128</v>
      </c>
      <c r="E28" t="s">
        <v>129</v>
      </c>
      <c r="F28" t="s">
        <v>130</v>
      </c>
      <c r="G28">
        <v>19</v>
      </c>
      <c r="H28">
        <v>7782</v>
      </c>
      <c r="I28">
        <v>60</v>
      </c>
      <c r="J28">
        <v>185604</v>
      </c>
      <c r="K28">
        <v>48</v>
      </c>
      <c r="L28" t="s">
        <v>133</v>
      </c>
      <c r="M28" t="s">
        <v>25</v>
      </c>
      <c r="N28" t="s">
        <v>131</v>
      </c>
      <c r="O28" t="s">
        <v>132</v>
      </c>
      <c r="P28">
        <v>564</v>
      </c>
      <c r="Q28">
        <v>16</v>
      </c>
      <c r="R28">
        <v>7761</v>
      </c>
      <c r="S28">
        <v>59</v>
      </c>
      <c r="T28" t="s">
        <v>132</v>
      </c>
      <c r="U28">
        <v>-3</v>
      </c>
      <c r="V28">
        <v>21</v>
      </c>
      <c r="W28">
        <v>21</v>
      </c>
      <c r="X28">
        <v>1</v>
      </c>
      <c r="Y28">
        <v>0.27058368766911478</v>
      </c>
      <c r="Z28" t="s">
        <v>18</v>
      </c>
      <c r="AA28">
        <v>1</v>
      </c>
    </row>
    <row r="29" spans="1:27">
      <c r="A29" t="s">
        <v>1804</v>
      </c>
      <c r="B29" t="s">
        <v>17</v>
      </c>
      <c r="C29" t="s">
        <v>1832</v>
      </c>
      <c r="D29" t="s">
        <v>404</v>
      </c>
      <c r="E29" t="s">
        <v>270</v>
      </c>
      <c r="F29" t="s">
        <v>405</v>
      </c>
      <c r="G29">
        <v>66</v>
      </c>
      <c r="H29">
        <v>2868</v>
      </c>
      <c r="I29">
        <v>117</v>
      </c>
      <c r="J29">
        <v>250340</v>
      </c>
      <c r="K29">
        <v>68</v>
      </c>
      <c r="L29" t="s">
        <v>408</v>
      </c>
      <c r="M29" t="s">
        <v>25</v>
      </c>
      <c r="N29" t="s">
        <v>406</v>
      </c>
      <c r="O29" t="s">
        <v>407</v>
      </c>
      <c r="P29">
        <v>421</v>
      </c>
      <c r="Q29">
        <v>64</v>
      </c>
      <c r="R29">
        <v>2860</v>
      </c>
      <c r="S29">
        <v>116</v>
      </c>
      <c r="T29" t="s">
        <v>407</v>
      </c>
      <c r="U29">
        <v>-2</v>
      </c>
      <c r="V29">
        <v>8</v>
      </c>
      <c r="W29">
        <v>8</v>
      </c>
      <c r="X29">
        <v>1</v>
      </c>
      <c r="Y29">
        <v>0.27972027972027969</v>
      </c>
      <c r="Z29" t="s">
        <v>18</v>
      </c>
      <c r="AA29">
        <v>1</v>
      </c>
    </row>
    <row r="30" spans="1:27">
      <c r="A30" t="s">
        <v>1804</v>
      </c>
      <c r="B30" t="s">
        <v>17</v>
      </c>
      <c r="C30" t="s">
        <v>1833</v>
      </c>
      <c r="D30" t="s">
        <v>51</v>
      </c>
      <c r="E30" t="s">
        <v>52</v>
      </c>
      <c r="F30" t="s">
        <v>53</v>
      </c>
      <c r="G30">
        <v>6</v>
      </c>
      <c r="H30">
        <v>2180</v>
      </c>
      <c r="I30">
        <v>59</v>
      </c>
      <c r="J30">
        <v>87861</v>
      </c>
      <c r="K30">
        <v>60</v>
      </c>
      <c r="L30" t="s">
        <v>56</v>
      </c>
      <c r="M30" t="s">
        <v>25</v>
      </c>
      <c r="N30" t="s">
        <v>54</v>
      </c>
      <c r="O30" t="s">
        <v>55</v>
      </c>
      <c r="P30">
        <v>397</v>
      </c>
      <c r="Q30">
        <v>6</v>
      </c>
      <c r="R30">
        <v>2129</v>
      </c>
      <c r="S30">
        <v>58</v>
      </c>
      <c r="T30" t="s">
        <v>55</v>
      </c>
      <c r="U30">
        <v>0</v>
      </c>
      <c r="V30">
        <v>51</v>
      </c>
      <c r="W30">
        <v>51</v>
      </c>
      <c r="X30">
        <v>1</v>
      </c>
      <c r="Y30">
        <v>2.3954908407703139</v>
      </c>
      <c r="Z30" t="s">
        <v>18</v>
      </c>
      <c r="AA30">
        <v>1</v>
      </c>
    </row>
    <row r="31" spans="1:27">
      <c r="A31" t="s">
        <v>1804</v>
      </c>
      <c r="B31" t="s">
        <v>17</v>
      </c>
      <c r="C31" t="s">
        <v>1834</v>
      </c>
      <c r="D31" t="s">
        <v>269</v>
      </c>
      <c r="E31" t="s">
        <v>270</v>
      </c>
      <c r="F31" t="s">
        <v>271</v>
      </c>
      <c r="G31">
        <v>43</v>
      </c>
      <c r="H31">
        <v>8180</v>
      </c>
      <c r="I31">
        <v>96</v>
      </c>
      <c r="J31">
        <v>170337</v>
      </c>
      <c r="K31">
        <v>60</v>
      </c>
      <c r="L31" t="s">
        <v>274</v>
      </c>
      <c r="M31" t="s">
        <v>25</v>
      </c>
      <c r="N31" t="s">
        <v>272</v>
      </c>
      <c r="O31" t="s">
        <v>273</v>
      </c>
      <c r="P31">
        <v>245</v>
      </c>
      <c r="Q31">
        <v>44</v>
      </c>
      <c r="R31">
        <v>8164</v>
      </c>
      <c r="S31">
        <v>95</v>
      </c>
      <c r="T31" t="s">
        <v>273</v>
      </c>
      <c r="U31">
        <v>1</v>
      </c>
      <c r="V31">
        <v>16</v>
      </c>
      <c r="W31">
        <v>16</v>
      </c>
      <c r="X31">
        <v>1</v>
      </c>
      <c r="Y31">
        <v>0.1959823615874571</v>
      </c>
      <c r="Z31" t="s">
        <v>18</v>
      </c>
      <c r="AA31">
        <v>1</v>
      </c>
    </row>
    <row r="32" spans="1:27">
      <c r="A32" t="s">
        <v>1804</v>
      </c>
      <c r="B32" t="s">
        <v>17</v>
      </c>
      <c r="C32" t="s">
        <v>1835</v>
      </c>
      <c r="D32" t="s">
        <v>491</v>
      </c>
      <c r="E32" t="s">
        <v>492</v>
      </c>
      <c r="F32" t="s">
        <v>493</v>
      </c>
      <c r="G32">
        <v>81</v>
      </c>
      <c r="H32">
        <v>1001</v>
      </c>
      <c r="I32">
        <v>73</v>
      </c>
      <c r="J32">
        <v>495735</v>
      </c>
      <c r="K32">
        <v>58</v>
      </c>
      <c r="L32" t="s">
        <v>496</v>
      </c>
      <c r="M32" t="s">
        <v>25</v>
      </c>
      <c r="N32" t="s">
        <v>494</v>
      </c>
      <c r="O32" t="s">
        <v>495</v>
      </c>
      <c r="P32">
        <v>684</v>
      </c>
      <c r="Q32">
        <v>80</v>
      </c>
      <c r="R32">
        <v>986</v>
      </c>
      <c r="S32">
        <v>72</v>
      </c>
      <c r="T32" t="s">
        <v>495</v>
      </c>
      <c r="U32">
        <v>-1</v>
      </c>
      <c r="V32">
        <v>15</v>
      </c>
      <c r="W32">
        <v>15</v>
      </c>
      <c r="X32">
        <v>1</v>
      </c>
      <c r="Y32">
        <v>1.521298174442191</v>
      </c>
      <c r="Z32" t="s">
        <v>18</v>
      </c>
      <c r="AA32">
        <v>1</v>
      </c>
    </row>
    <row r="33" spans="1:27">
      <c r="A33" t="s">
        <v>1804</v>
      </c>
      <c r="B33" t="s">
        <v>17</v>
      </c>
      <c r="C33" t="s">
        <v>1836</v>
      </c>
      <c r="D33" t="s">
        <v>245</v>
      </c>
      <c r="E33" t="s">
        <v>246</v>
      </c>
      <c r="F33" t="s">
        <v>247</v>
      </c>
      <c r="G33">
        <v>39</v>
      </c>
      <c r="H33">
        <v>2940</v>
      </c>
      <c r="I33">
        <v>19</v>
      </c>
      <c r="J33">
        <v>88361</v>
      </c>
      <c r="K33">
        <v>53</v>
      </c>
      <c r="L33" t="s">
        <v>250</v>
      </c>
      <c r="M33" t="s">
        <v>25</v>
      </c>
      <c r="N33" t="s">
        <v>248</v>
      </c>
      <c r="O33" t="s">
        <v>249</v>
      </c>
      <c r="P33">
        <v>548</v>
      </c>
      <c r="Q33">
        <v>48</v>
      </c>
      <c r="R33">
        <v>2927</v>
      </c>
      <c r="S33">
        <v>19</v>
      </c>
      <c r="T33" t="s">
        <v>249</v>
      </c>
      <c r="U33">
        <v>9</v>
      </c>
      <c r="V33">
        <v>13</v>
      </c>
      <c r="W33">
        <v>13</v>
      </c>
      <c r="X33">
        <v>0</v>
      </c>
      <c r="Y33">
        <v>0.44414075845575679</v>
      </c>
      <c r="Z33" t="s">
        <v>18</v>
      </c>
      <c r="AA33">
        <v>1</v>
      </c>
    </row>
    <row r="34" spans="1:27">
      <c r="A34" t="s">
        <v>1804</v>
      </c>
      <c r="B34" t="s">
        <v>17</v>
      </c>
      <c r="C34" t="s">
        <v>1837</v>
      </c>
      <c r="D34" t="s">
        <v>281</v>
      </c>
      <c r="E34" t="s">
        <v>282</v>
      </c>
      <c r="F34" t="s">
        <v>283</v>
      </c>
      <c r="G34">
        <v>45</v>
      </c>
      <c r="H34">
        <v>873</v>
      </c>
      <c r="I34">
        <v>51</v>
      </c>
      <c r="J34">
        <v>112586</v>
      </c>
      <c r="K34">
        <v>50</v>
      </c>
      <c r="L34" t="s">
        <v>286</v>
      </c>
      <c r="M34" t="s">
        <v>25</v>
      </c>
      <c r="N34" t="s">
        <v>284</v>
      </c>
      <c r="O34" t="s">
        <v>285</v>
      </c>
      <c r="P34">
        <v>58</v>
      </c>
      <c r="Q34">
        <v>46</v>
      </c>
      <c r="R34">
        <v>853</v>
      </c>
      <c r="S34">
        <v>50</v>
      </c>
      <c r="T34" t="s">
        <v>285</v>
      </c>
      <c r="U34">
        <v>1</v>
      </c>
      <c r="V34">
        <v>20</v>
      </c>
      <c r="W34">
        <v>20</v>
      </c>
      <c r="X34">
        <v>1</v>
      </c>
      <c r="Y34">
        <v>2.3446658851113722</v>
      </c>
      <c r="Z34" t="s">
        <v>18</v>
      </c>
      <c r="AA34">
        <v>1</v>
      </c>
    </row>
    <row r="35" spans="1:27">
      <c r="A35" t="s">
        <v>1804</v>
      </c>
      <c r="B35" t="s">
        <v>17</v>
      </c>
      <c r="C35" t="s">
        <v>1838</v>
      </c>
      <c r="D35" t="s">
        <v>111</v>
      </c>
      <c r="E35" t="s">
        <v>20</v>
      </c>
      <c r="F35" t="s">
        <v>112</v>
      </c>
      <c r="G35">
        <v>16</v>
      </c>
      <c r="H35">
        <v>2789</v>
      </c>
      <c r="I35">
        <v>70</v>
      </c>
      <c r="J35">
        <v>213780</v>
      </c>
      <c r="K35">
        <v>41</v>
      </c>
      <c r="L35" t="s">
        <v>115</v>
      </c>
      <c r="M35" t="s">
        <v>44</v>
      </c>
      <c r="N35" t="s">
        <v>113</v>
      </c>
      <c r="O35" t="s">
        <v>114</v>
      </c>
      <c r="P35">
        <v>405</v>
      </c>
      <c r="Q35">
        <v>18</v>
      </c>
      <c r="R35">
        <v>2556</v>
      </c>
      <c r="S35">
        <v>69</v>
      </c>
      <c r="T35" t="s">
        <v>114</v>
      </c>
      <c r="U35">
        <v>2</v>
      </c>
      <c r="V35">
        <v>233</v>
      </c>
      <c r="W35">
        <v>233</v>
      </c>
      <c r="X35">
        <v>1</v>
      </c>
      <c r="Y35">
        <v>9.1158059467918626</v>
      </c>
      <c r="Z35" t="s">
        <v>18</v>
      </c>
      <c r="AA35">
        <v>1</v>
      </c>
    </row>
    <row r="36" spans="1:27">
      <c r="A36" t="s">
        <v>1804</v>
      </c>
      <c r="B36" t="s">
        <v>17</v>
      </c>
      <c r="C36" t="s">
        <v>1839</v>
      </c>
      <c r="D36" t="s">
        <v>210</v>
      </c>
      <c r="E36" t="s">
        <v>211</v>
      </c>
      <c r="F36" t="s">
        <v>212</v>
      </c>
      <c r="G36">
        <v>33</v>
      </c>
      <c r="H36">
        <v>1497</v>
      </c>
      <c r="I36">
        <v>48</v>
      </c>
      <c r="J36">
        <v>229351</v>
      </c>
      <c r="K36">
        <v>38</v>
      </c>
      <c r="L36" t="s">
        <v>215</v>
      </c>
      <c r="M36" t="s">
        <v>25</v>
      </c>
      <c r="N36" t="s">
        <v>213</v>
      </c>
      <c r="O36" t="s">
        <v>214</v>
      </c>
      <c r="P36">
        <v>659</v>
      </c>
      <c r="Q36">
        <v>30</v>
      </c>
      <c r="R36">
        <v>1483</v>
      </c>
      <c r="S36">
        <v>47</v>
      </c>
      <c r="T36" t="s">
        <v>214</v>
      </c>
      <c r="U36">
        <v>-3</v>
      </c>
      <c r="V36">
        <v>14</v>
      </c>
      <c r="W36">
        <v>14</v>
      </c>
      <c r="X36">
        <v>1</v>
      </c>
      <c r="Y36">
        <v>0.94403236682400538</v>
      </c>
      <c r="Z36" t="s">
        <v>18</v>
      </c>
      <c r="AA36">
        <v>1</v>
      </c>
    </row>
    <row r="37" spans="1:27">
      <c r="A37" t="s">
        <v>1804</v>
      </c>
      <c r="C37" t="s">
        <v>1221</v>
      </c>
      <c r="D37" t="s">
        <v>1190</v>
      </c>
      <c r="E37" t="s">
        <v>1191</v>
      </c>
      <c r="N37" t="s">
        <v>1192</v>
      </c>
      <c r="O37" t="s">
        <v>1193</v>
      </c>
      <c r="Q37">
        <v>98</v>
      </c>
      <c r="R37">
        <v>379</v>
      </c>
      <c r="S37">
        <v>63</v>
      </c>
      <c r="T37" t="s">
        <v>1193</v>
      </c>
      <c r="Z37" t="s">
        <v>1189</v>
      </c>
      <c r="AA37">
        <v>1</v>
      </c>
    </row>
    <row r="38" spans="1:27">
      <c r="A38" t="s">
        <v>1804</v>
      </c>
      <c r="B38" t="s">
        <v>17</v>
      </c>
      <c r="C38" t="s">
        <v>1840</v>
      </c>
      <c r="D38" t="s">
        <v>75</v>
      </c>
      <c r="E38" t="s">
        <v>76</v>
      </c>
      <c r="F38" t="s">
        <v>77</v>
      </c>
      <c r="G38">
        <v>10</v>
      </c>
      <c r="H38">
        <v>5914</v>
      </c>
      <c r="I38">
        <v>33</v>
      </c>
      <c r="J38">
        <v>104145</v>
      </c>
      <c r="K38">
        <v>32</v>
      </c>
      <c r="L38" t="s">
        <v>80</v>
      </c>
      <c r="M38" t="s">
        <v>25</v>
      </c>
      <c r="N38" t="s">
        <v>78</v>
      </c>
      <c r="O38" t="s">
        <v>79</v>
      </c>
      <c r="P38">
        <v>160</v>
      </c>
      <c r="Q38">
        <v>9</v>
      </c>
      <c r="R38">
        <v>5871</v>
      </c>
      <c r="S38">
        <v>33</v>
      </c>
      <c r="T38" t="s">
        <v>79</v>
      </c>
      <c r="U38">
        <v>-1</v>
      </c>
      <c r="V38">
        <v>43</v>
      </c>
      <c r="W38">
        <v>43</v>
      </c>
      <c r="X38">
        <v>0</v>
      </c>
      <c r="Y38">
        <v>0.73241355816726283</v>
      </c>
      <c r="Z38" t="s">
        <v>18</v>
      </c>
      <c r="AA38">
        <v>1</v>
      </c>
    </row>
    <row r="39" spans="1:27">
      <c r="A39" t="s">
        <v>1804</v>
      </c>
      <c r="B39" t="s">
        <v>17</v>
      </c>
      <c r="C39" t="s">
        <v>1841</v>
      </c>
      <c r="D39" t="s">
        <v>550</v>
      </c>
      <c r="E39" t="s">
        <v>551</v>
      </c>
      <c r="F39" t="s">
        <v>552</v>
      </c>
      <c r="G39">
        <v>91</v>
      </c>
      <c r="H39">
        <v>1944</v>
      </c>
      <c r="I39">
        <v>56</v>
      </c>
      <c r="J39">
        <v>83797</v>
      </c>
      <c r="K39">
        <v>24</v>
      </c>
      <c r="L39" t="s">
        <v>555</v>
      </c>
      <c r="M39" t="s">
        <v>44</v>
      </c>
      <c r="N39" t="s">
        <v>553</v>
      </c>
      <c r="O39" t="s">
        <v>554</v>
      </c>
      <c r="P39">
        <v>566</v>
      </c>
      <c r="Q39">
        <v>86</v>
      </c>
      <c r="R39">
        <v>1922</v>
      </c>
      <c r="S39">
        <v>56</v>
      </c>
      <c r="T39" t="s">
        <v>554</v>
      </c>
      <c r="U39">
        <v>-5</v>
      </c>
      <c r="V39">
        <v>22</v>
      </c>
      <c r="W39">
        <v>22</v>
      </c>
      <c r="X39">
        <v>0</v>
      </c>
      <c r="Y39">
        <v>1.1446409989594171</v>
      </c>
      <c r="Z39" t="s">
        <v>18</v>
      </c>
      <c r="AA39">
        <v>1</v>
      </c>
    </row>
    <row r="40" spans="1:27">
      <c r="A40" t="s">
        <v>1804</v>
      </c>
      <c r="B40" t="s">
        <v>17</v>
      </c>
      <c r="C40" t="s">
        <v>1842</v>
      </c>
      <c r="D40" t="s">
        <v>380</v>
      </c>
      <c r="E40" t="s">
        <v>381</v>
      </c>
      <c r="F40" t="s">
        <v>382</v>
      </c>
      <c r="G40">
        <v>62</v>
      </c>
      <c r="H40">
        <v>315</v>
      </c>
      <c r="I40">
        <v>25</v>
      </c>
      <c r="J40">
        <v>56085</v>
      </c>
      <c r="K40">
        <v>23</v>
      </c>
      <c r="L40" t="s">
        <v>385</v>
      </c>
      <c r="M40" t="s">
        <v>25</v>
      </c>
      <c r="N40" t="s">
        <v>383</v>
      </c>
      <c r="O40" t="s">
        <v>384</v>
      </c>
      <c r="P40">
        <v>409</v>
      </c>
      <c r="Q40">
        <v>62</v>
      </c>
      <c r="R40">
        <v>306</v>
      </c>
      <c r="S40">
        <v>25</v>
      </c>
      <c r="T40" t="s">
        <v>384</v>
      </c>
      <c r="U40">
        <v>0</v>
      </c>
      <c r="V40">
        <v>9</v>
      </c>
      <c r="W40">
        <v>9</v>
      </c>
      <c r="X40">
        <v>0</v>
      </c>
      <c r="Y40">
        <v>2.9411764705882351</v>
      </c>
      <c r="Z40" t="s">
        <v>18</v>
      </c>
      <c r="AA40">
        <v>1</v>
      </c>
    </row>
    <row r="41" spans="1:27">
      <c r="A41" t="s">
        <v>1804</v>
      </c>
      <c r="B41" t="s">
        <v>17</v>
      </c>
      <c r="C41" t="s">
        <v>1843</v>
      </c>
      <c r="D41" t="s">
        <v>305</v>
      </c>
      <c r="E41" t="s">
        <v>33</v>
      </c>
      <c r="F41" t="s">
        <v>306</v>
      </c>
      <c r="G41">
        <v>49</v>
      </c>
      <c r="H41">
        <v>1714</v>
      </c>
      <c r="I41">
        <v>31</v>
      </c>
      <c r="J41">
        <v>94015</v>
      </c>
      <c r="K41">
        <v>31</v>
      </c>
      <c r="L41" t="s">
        <v>309</v>
      </c>
      <c r="M41" t="s">
        <v>25</v>
      </c>
      <c r="N41" t="s">
        <v>307</v>
      </c>
      <c r="O41" t="s">
        <v>308</v>
      </c>
      <c r="P41">
        <v>422</v>
      </c>
      <c r="Q41">
        <v>34</v>
      </c>
      <c r="R41">
        <v>1708</v>
      </c>
      <c r="S41">
        <v>31</v>
      </c>
      <c r="T41" t="s">
        <v>308</v>
      </c>
      <c r="U41">
        <v>-15</v>
      </c>
      <c r="V41">
        <v>6</v>
      </c>
      <c r="W41">
        <v>6</v>
      </c>
      <c r="X41">
        <v>0</v>
      </c>
      <c r="Y41">
        <v>0.35128805620608899</v>
      </c>
      <c r="Z41" t="s">
        <v>18</v>
      </c>
      <c r="AA41">
        <v>1</v>
      </c>
    </row>
    <row r="42" spans="1:27">
      <c r="A42" t="s">
        <v>1804</v>
      </c>
      <c r="B42" t="s">
        <v>17</v>
      </c>
      <c r="C42" t="s">
        <v>1844</v>
      </c>
      <c r="D42" t="s">
        <v>19</v>
      </c>
      <c r="E42" t="s">
        <v>20</v>
      </c>
      <c r="F42" t="s">
        <v>21</v>
      </c>
      <c r="G42">
        <v>1</v>
      </c>
      <c r="H42">
        <v>4745</v>
      </c>
      <c r="I42">
        <v>28</v>
      </c>
      <c r="J42">
        <v>95360</v>
      </c>
      <c r="K42">
        <v>17</v>
      </c>
      <c r="L42" t="s">
        <v>24</v>
      </c>
      <c r="M42" t="s">
        <v>25</v>
      </c>
      <c r="N42" t="s">
        <v>22</v>
      </c>
      <c r="O42" t="s">
        <v>23</v>
      </c>
      <c r="P42">
        <v>442</v>
      </c>
      <c r="Q42">
        <v>1</v>
      </c>
      <c r="R42">
        <v>4368</v>
      </c>
      <c r="S42">
        <v>27</v>
      </c>
      <c r="T42" t="s">
        <v>23</v>
      </c>
      <c r="U42">
        <v>0</v>
      </c>
      <c r="V42">
        <v>377</v>
      </c>
      <c r="W42">
        <v>377</v>
      </c>
      <c r="X42">
        <v>1</v>
      </c>
      <c r="Y42">
        <v>8.6309523809523814</v>
      </c>
      <c r="Z42" t="s">
        <v>18</v>
      </c>
      <c r="AA42">
        <v>1</v>
      </c>
    </row>
    <row r="43" spans="1:27">
      <c r="A43" t="s">
        <v>1804</v>
      </c>
      <c r="B43" t="s">
        <v>17</v>
      </c>
      <c r="C43" t="s">
        <v>1845</v>
      </c>
      <c r="D43" t="s">
        <v>275</v>
      </c>
      <c r="E43" t="s">
        <v>276</v>
      </c>
      <c r="F43" t="s">
        <v>277</v>
      </c>
      <c r="G43">
        <v>44</v>
      </c>
      <c r="H43">
        <v>1372</v>
      </c>
      <c r="I43">
        <v>187</v>
      </c>
      <c r="J43">
        <v>703282</v>
      </c>
      <c r="K43">
        <v>43</v>
      </c>
      <c r="L43" t="s">
        <v>280</v>
      </c>
      <c r="M43" t="s">
        <v>25</v>
      </c>
      <c r="N43" t="s">
        <v>278</v>
      </c>
      <c r="O43" t="s">
        <v>279</v>
      </c>
      <c r="P43">
        <v>164</v>
      </c>
      <c r="Q43">
        <v>43</v>
      </c>
      <c r="R43">
        <v>1334</v>
      </c>
      <c r="S43">
        <v>183</v>
      </c>
      <c r="T43" t="s">
        <v>279</v>
      </c>
      <c r="U43">
        <v>-1</v>
      </c>
      <c r="V43">
        <v>38</v>
      </c>
      <c r="W43">
        <v>38</v>
      </c>
      <c r="X43">
        <v>4</v>
      </c>
      <c r="Y43">
        <v>2.8485757121439281</v>
      </c>
      <c r="Z43" t="s">
        <v>18</v>
      </c>
      <c r="AA43">
        <v>1</v>
      </c>
    </row>
    <row r="44" spans="1:27">
      <c r="A44" t="s">
        <v>1804</v>
      </c>
      <c r="B44" t="s">
        <v>17</v>
      </c>
      <c r="C44" t="s">
        <v>1846</v>
      </c>
      <c r="D44" t="s">
        <v>480</v>
      </c>
      <c r="E44" t="s">
        <v>481</v>
      </c>
      <c r="F44" t="s">
        <v>482</v>
      </c>
      <c r="G44">
        <v>79</v>
      </c>
      <c r="H44">
        <v>206</v>
      </c>
      <c r="I44">
        <v>52</v>
      </c>
      <c r="J44">
        <v>213137</v>
      </c>
      <c r="K44">
        <v>41</v>
      </c>
      <c r="L44" t="s">
        <v>485</v>
      </c>
      <c r="M44" t="s">
        <v>25</v>
      </c>
      <c r="N44" t="s">
        <v>483</v>
      </c>
      <c r="O44" t="s">
        <v>484</v>
      </c>
      <c r="P44">
        <v>246</v>
      </c>
      <c r="Q44">
        <v>90</v>
      </c>
      <c r="R44">
        <v>195</v>
      </c>
      <c r="S44">
        <v>51</v>
      </c>
      <c r="T44" t="s">
        <v>484</v>
      </c>
      <c r="U44">
        <v>11</v>
      </c>
      <c r="V44">
        <v>11</v>
      </c>
      <c r="W44">
        <v>11</v>
      </c>
      <c r="X44">
        <v>1</v>
      </c>
      <c r="Y44">
        <v>5.6410256410256414</v>
      </c>
      <c r="Z44" t="s">
        <v>18</v>
      </c>
      <c r="AA44">
        <v>1</v>
      </c>
    </row>
    <row r="45" spans="1:27">
      <c r="A45" t="s">
        <v>1804</v>
      </c>
      <c r="B45" t="s">
        <v>17</v>
      </c>
      <c r="C45" t="s">
        <v>1847</v>
      </c>
      <c r="D45" t="s">
        <v>316</v>
      </c>
      <c r="E45" t="s">
        <v>317</v>
      </c>
      <c r="F45" t="s">
        <v>318</v>
      </c>
      <c r="G45">
        <v>51</v>
      </c>
      <c r="H45">
        <v>1544</v>
      </c>
      <c r="I45">
        <v>62</v>
      </c>
      <c r="J45">
        <v>203862</v>
      </c>
      <c r="K45">
        <v>36</v>
      </c>
      <c r="L45" t="s">
        <v>321</v>
      </c>
      <c r="M45" t="s">
        <v>25</v>
      </c>
      <c r="N45" t="s">
        <v>319</v>
      </c>
      <c r="O45" t="s">
        <v>320</v>
      </c>
      <c r="P45">
        <v>879</v>
      </c>
      <c r="Q45">
        <v>41</v>
      </c>
      <c r="R45">
        <v>1538</v>
      </c>
      <c r="S45">
        <v>62</v>
      </c>
      <c r="T45" t="s">
        <v>320</v>
      </c>
      <c r="U45">
        <v>-10</v>
      </c>
      <c r="V45">
        <v>6</v>
      </c>
      <c r="W45">
        <v>6</v>
      </c>
      <c r="X45">
        <v>0</v>
      </c>
      <c r="Y45">
        <v>0.39011703511053319</v>
      </c>
      <c r="Z45" t="s">
        <v>18</v>
      </c>
      <c r="AA45">
        <v>1</v>
      </c>
    </row>
    <row r="46" spans="1:27">
      <c r="A46" t="s">
        <v>1804</v>
      </c>
      <c r="B46" t="s">
        <v>17</v>
      </c>
      <c r="C46" t="s">
        <v>1848</v>
      </c>
      <c r="D46" t="s">
        <v>398</v>
      </c>
      <c r="E46" t="s">
        <v>399</v>
      </c>
      <c r="F46" t="s">
        <v>400</v>
      </c>
      <c r="G46">
        <v>65</v>
      </c>
      <c r="H46">
        <v>500</v>
      </c>
      <c r="I46">
        <v>315</v>
      </c>
      <c r="J46">
        <v>743573</v>
      </c>
      <c r="K46">
        <v>39</v>
      </c>
      <c r="L46" t="s">
        <v>403</v>
      </c>
      <c r="M46" t="s">
        <v>25</v>
      </c>
      <c r="N46" t="s">
        <v>401</v>
      </c>
      <c r="O46" t="s">
        <v>402</v>
      </c>
      <c r="P46">
        <v>782</v>
      </c>
      <c r="Q46">
        <v>71</v>
      </c>
      <c r="R46">
        <v>496</v>
      </c>
      <c r="S46">
        <v>313</v>
      </c>
      <c r="T46" t="s">
        <v>402</v>
      </c>
      <c r="U46">
        <v>6</v>
      </c>
      <c r="V46">
        <v>4</v>
      </c>
      <c r="W46">
        <v>4</v>
      </c>
      <c r="X46">
        <v>2</v>
      </c>
      <c r="Y46">
        <v>0.80645161290322576</v>
      </c>
      <c r="Z46" t="s">
        <v>18</v>
      </c>
      <c r="AA46">
        <v>1</v>
      </c>
    </row>
    <row r="47" spans="1:27">
      <c r="A47" t="s">
        <v>1804</v>
      </c>
      <c r="B47" t="s">
        <v>17</v>
      </c>
      <c r="C47" t="s">
        <v>1849</v>
      </c>
      <c r="D47" t="s">
        <v>364</v>
      </c>
      <c r="E47" t="s">
        <v>153</v>
      </c>
      <c r="F47" t="s">
        <v>365</v>
      </c>
      <c r="G47">
        <v>59</v>
      </c>
      <c r="H47">
        <v>977</v>
      </c>
      <c r="I47">
        <v>41</v>
      </c>
      <c r="J47">
        <v>457981</v>
      </c>
      <c r="K47">
        <v>37</v>
      </c>
      <c r="L47" t="s">
        <v>368</v>
      </c>
      <c r="M47" t="s">
        <v>25</v>
      </c>
      <c r="N47" t="s">
        <v>366</v>
      </c>
      <c r="O47" t="s">
        <v>367</v>
      </c>
      <c r="P47">
        <v>1188</v>
      </c>
      <c r="Q47">
        <v>56</v>
      </c>
      <c r="R47">
        <v>968</v>
      </c>
      <c r="S47">
        <v>40</v>
      </c>
      <c r="T47" t="s">
        <v>367</v>
      </c>
      <c r="U47">
        <v>-3</v>
      </c>
      <c r="V47">
        <v>9</v>
      </c>
      <c r="W47">
        <v>9</v>
      </c>
      <c r="X47">
        <v>1</v>
      </c>
      <c r="Y47">
        <v>0.92975206611570249</v>
      </c>
      <c r="Z47" t="s">
        <v>18</v>
      </c>
      <c r="AA47">
        <v>1</v>
      </c>
    </row>
    <row r="48" spans="1:27">
      <c r="A48" t="s">
        <v>1804</v>
      </c>
      <c r="B48" t="s">
        <v>17</v>
      </c>
      <c r="C48" t="s">
        <v>1850</v>
      </c>
      <c r="D48" t="s">
        <v>105</v>
      </c>
      <c r="E48" t="s">
        <v>106</v>
      </c>
      <c r="F48" t="s">
        <v>107</v>
      </c>
      <c r="G48">
        <v>15</v>
      </c>
      <c r="H48">
        <v>554</v>
      </c>
      <c r="I48">
        <v>50</v>
      </c>
      <c r="J48">
        <v>237794</v>
      </c>
      <c r="K48">
        <v>12</v>
      </c>
      <c r="L48" t="s">
        <v>110</v>
      </c>
      <c r="M48" t="s">
        <v>44</v>
      </c>
      <c r="N48" t="s">
        <v>108</v>
      </c>
      <c r="O48" t="s">
        <v>109</v>
      </c>
      <c r="P48">
        <v>578</v>
      </c>
      <c r="Q48">
        <v>14</v>
      </c>
      <c r="R48">
        <v>520</v>
      </c>
      <c r="S48">
        <v>50</v>
      </c>
      <c r="T48" t="s">
        <v>109</v>
      </c>
      <c r="U48">
        <v>-1</v>
      </c>
      <c r="V48">
        <v>34</v>
      </c>
      <c r="W48">
        <v>34</v>
      </c>
      <c r="X48">
        <v>0</v>
      </c>
      <c r="Y48">
        <v>6.5384615384615392</v>
      </c>
      <c r="Z48" t="s">
        <v>18</v>
      </c>
      <c r="AA48">
        <v>1</v>
      </c>
    </row>
    <row r="49" spans="1:27">
      <c r="A49" t="s">
        <v>1804</v>
      </c>
      <c r="B49" t="s">
        <v>17</v>
      </c>
      <c r="C49" t="s">
        <v>1851</v>
      </c>
      <c r="D49" t="s">
        <v>566</v>
      </c>
      <c r="E49" t="s">
        <v>567</v>
      </c>
      <c r="F49" t="s">
        <v>568</v>
      </c>
      <c r="G49">
        <v>94</v>
      </c>
      <c r="H49">
        <v>381</v>
      </c>
      <c r="I49">
        <v>67</v>
      </c>
      <c r="J49">
        <v>444652</v>
      </c>
      <c r="K49">
        <v>33</v>
      </c>
      <c r="L49" t="s">
        <v>571</v>
      </c>
      <c r="M49" t="s">
        <v>44</v>
      </c>
      <c r="N49" t="s">
        <v>569</v>
      </c>
      <c r="O49" t="s">
        <v>570</v>
      </c>
      <c r="P49">
        <v>867</v>
      </c>
      <c r="Q49">
        <v>91</v>
      </c>
      <c r="R49">
        <v>367</v>
      </c>
      <c r="S49">
        <v>67</v>
      </c>
      <c r="T49" t="s">
        <v>570</v>
      </c>
      <c r="U49">
        <v>-3</v>
      </c>
      <c r="V49">
        <v>14</v>
      </c>
      <c r="W49">
        <v>14</v>
      </c>
      <c r="X49">
        <v>0</v>
      </c>
      <c r="Y49">
        <v>3.814713896457766</v>
      </c>
      <c r="Z49" t="s">
        <v>18</v>
      </c>
      <c r="AA49">
        <v>1</v>
      </c>
    </row>
    <row r="50" spans="1:27">
      <c r="A50" t="s">
        <v>1804</v>
      </c>
      <c r="B50" t="s">
        <v>17</v>
      </c>
      <c r="C50" t="s">
        <v>1852</v>
      </c>
      <c r="D50" t="s">
        <v>257</v>
      </c>
      <c r="E50" t="s">
        <v>258</v>
      </c>
      <c r="F50" t="s">
        <v>259</v>
      </c>
      <c r="G50">
        <v>41</v>
      </c>
      <c r="H50">
        <v>4685</v>
      </c>
      <c r="I50">
        <v>18</v>
      </c>
      <c r="J50">
        <v>54124</v>
      </c>
      <c r="K50">
        <v>10</v>
      </c>
      <c r="L50" t="s">
        <v>262</v>
      </c>
      <c r="M50" t="s">
        <v>44</v>
      </c>
      <c r="N50" t="s">
        <v>260</v>
      </c>
      <c r="O50" t="s">
        <v>261</v>
      </c>
      <c r="P50">
        <v>456</v>
      </c>
      <c r="Q50">
        <v>29</v>
      </c>
      <c r="R50">
        <v>4653</v>
      </c>
      <c r="S50">
        <v>18</v>
      </c>
      <c r="T50" t="s">
        <v>261</v>
      </c>
      <c r="U50">
        <v>-12</v>
      </c>
      <c r="V50">
        <v>32</v>
      </c>
      <c r="W50">
        <v>32</v>
      </c>
      <c r="X50">
        <v>0</v>
      </c>
      <c r="Y50">
        <v>0.6877283473028154</v>
      </c>
      <c r="Z50" t="s">
        <v>18</v>
      </c>
      <c r="AA50">
        <v>1</v>
      </c>
    </row>
    <row r="51" spans="1:27">
      <c r="A51" t="s">
        <v>1804</v>
      </c>
      <c r="B51" t="s">
        <v>17</v>
      </c>
      <c r="C51" t="s">
        <v>1853</v>
      </c>
      <c r="D51" t="s">
        <v>293</v>
      </c>
      <c r="E51" t="s">
        <v>294</v>
      </c>
      <c r="F51" t="s">
        <v>295</v>
      </c>
      <c r="G51">
        <v>47</v>
      </c>
      <c r="H51">
        <v>2164</v>
      </c>
      <c r="I51">
        <v>34</v>
      </c>
      <c r="J51">
        <v>117659</v>
      </c>
      <c r="K51">
        <v>19</v>
      </c>
      <c r="L51" t="s">
        <v>298</v>
      </c>
      <c r="M51" t="s">
        <v>25</v>
      </c>
      <c r="N51" t="s">
        <v>296</v>
      </c>
      <c r="O51" t="s">
        <v>297</v>
      </c>
      <c r="P51">
        <v>411</v>
      </c>
      <c r="Q51">
        <v>33</v>
      </c>
      <c r="R51">
        <v>2155</v>
      </c>
      <c r="S51">
        <v>34</v>
      </c>
      <c r="T51" t="s">
        <v>297</v>
      </c>
      <c r="U51">
        <v>-14</v>
      </c>
      <c r="V51">
        <v>9</v>
      </c>
      <c r="W51">
        <v>9</v>
      </c>
      <c r="X51">
        <v>0</v>
      </c>
      <c r="Y51">
        <v>0.41763341067285392</v>
      </c>
      <c r="Z51" t="s">
        <v>18</v>
      </c>
      <c r="AA51">
        <v>1</v>
      </c>
    </row>
    <row r="52" spans="1:27">
      <c r="A52" t="s">
        <v>1804</v>
      </c>
      <c r="B52" t="s">
        <v>17</v>
      </c>
      <c r="C52" t="s">
        <v>1854</v>
      </c>
      <c r="D52" t="s">
        <v>170</v>
      </c>
      <c r="E52" t="s">
        <v>171</v>
      </c>
      <c r="F52" t="s">
        <v>172</v>
      </c>
      <c r="G52">
        <v>26</v>
      </c>
      <c r="H52">
        <v>1103</v>
      </c>
      <c r="I52">
        <v>34</v>
      </c>
      <c r="J52">
        <v>77849</v>
      </c>
      <c r="K52">
        <v>33</v>
      </c>
      <c r="L52" t="s">
        <v>175</v>
      </c>
      <c r="M52" t="s">
        <v>25</v>
      </c>
      <c r="N52" t="s">
        <v>173</v>
      </c>
      <c r="O52" t="s">
        <v>174</v>
      </c>
      <c r="P52">
        <v>277</v>
      </c>
      <c r="Q52">
        <v>28</v>
      </c>
      <c r="R52">
        <v>1062</v>
      </c>
      <c r="S52">
        <v>33</v>
      </c>
      <c r="T52" t="s">
        <v>174</v>
      </c>
      <c r="U52">
        <v>2</v>
      </c>
      <c r="V52">
        <v>41</v>
      </c>
      <c r="W52">
        <v>41</v>
      </c>
      <c r="X52">
        <v>1</v>
      </c>
      <c r="Y52">
        <v>3.8606403013182669</v>
      </c>
      <c r="Z52" t="s">
        <v>18</v>
      </c>
      <c r="AA52">
        <v>1</v>
      </c>
    </row>
    <row r="53" spans="1:27">
      <c r="A53" t="s">
        <v>1804</v>
      </c>
      <c r="B53" t="s">
        <v>17</v>
      </c>
      <c r="C53" t="s">
        <v>1855</v>
      </c>
      <c r="D53" t="s">
        <v>222</v>
      </c>
      <c r="E53" t="s">
        <v>223</v>
      </c>
      <c r="F53" t="s">
        <v>224</v>
      </c>
      <c r="G53">
        <v>35</v>
      </c>
      <c r="H53">
        <v>489</v>
      </c>
      <c r="I53">
        <v>21</v>
      </c>
      <c r="J53">
        <v>45367</v>
      </c>
      <c r="K53">
        <v>31</v>
      </c>
      <c r="L53" t="s">
        <v>227</v>
      </c>
      <c r="M53" t="s">
        <v>25</v>
      </c>
      <c r="N53" t="s">
        <v>225</v>
      </c>
      <c r="O53" t="s">
        <v>226</v>
      </c>
      <c r="P53">
        <v>103</v>
      </c>
      <c r="Q53">
        <v>39</v>
      </c>
      <c r="R53">
        <v>475</v>
      </c>
      <c r="S53">
        <v>21</v>
      </c>
      <c r="T53" t="s">
        <v>226</v>
      </c>
      <c r="U53">
        <v>4</v>
      </c>
      <c r="V53">
        <v>14</v>
      </c>
      <c r="W53">
        <v>14</v>
      </c>
      <c r="X53">
        <v>0</v>
      </c>
      <c r="Y53">
        <v>2.947368421052631</v>
      </c>
      <c r="Z53" t="s">
        <v>18</v>
      </c>
      <c r="AA53">
        <v>1</v>
      </c>
    </row>
    <row r="54" spans="1:27">
      <c r="A54" t="s">
        <v>1804</v>
      </c>
      <c r="C54" t="s">
        <v>1220</v>
      </c>
      <c r="D54" t="s">
        <v>1194</v>
      </c>
      <c r="E54" t="s">
        <v>845</v>
      </c>
      <c r="N54" t="s">
        <v>1195</v>
      </c>
      <c r="O54" t="s">
        <v>1196</v>
      </c>
      <c r="Q54">
        <v>92</v>
      </c>
      <c r="R54">
        <v>702</v>
      </c>
      <c r="S54">
        <v>35</v>
      </c>
      <c r="T54" t="s">
        <v>1196</v>
      </c>
      <c r="Z54" t="s">
        <v>1189</v>
      </c>
      <c r="AA54">
        <v>1</v>
      </c>
    </row>
    <row r="55" spans="1:27">
      <c r="A55" t="s">
        <v>1804</v>
      </c>
      <c r="B55" t="s">
        <v>17</v>
      </c>
      <c r="C55" t="s">
        <v>1856</v>
      </c>
      <c r="D55" t="s">
        <v>228</v>
      </c>
      <c r="E55" t="s">
        <v>229</v>
      </c>
      <c r="F55" t="s">
        <v>230</v>
      </c>
      <c r="G55">
        <v>36</v>
      </c>
      <c r="H55">
        <v>434</v>
      </c>
      <c r="I55">
        <v>27</v>
      </c>
      <c r="J55">
        <v>71149</v>
      </c>
      <c r="K55">
        <v>23</v>
      </c>
      <c r="L55" t="s">
        <v>233</v>
      </c>
      <c r="M55" t="s">
        <v>25</v>
      </c>
      <c r="N55" t="s">
        <v>231</v>
      </c>
      <c r="O55" t="s">
        <v>232</v>
      </c>
      <c r="P55">
        <v>675</v>
      </c>
      <c r="Q55">
        <v>37</v>
      </c>
      <c r="R55">
        <v>420</v>
      </c>
      <c r="S55">
        <v>26</v>
      </c>
      <c r="T55" t="s">
        <v>232</v>
      </c>
      <c r="U55">
        <v>1</v>
      </c>
      <c r="V55">
        <v>14</v>
      </c>
      <c r="W55">
        <v>14</v>
      </c>
      <c r="X55">
        <v>1</v>
      </c>
      <c r="Y55">
        <v>3.333333333333333</v>
      </c>
      <c r="Z55" t="s">
        <v>18</v>
      </c>
      <c r="AA55">
        <v>1</v>
      </c>
    </row>
    <row r="56" spans="1:27">
      <c r="A56" t="s">
        <v>1804</v>
      </c>
      <c r="B56" t="s">
        <v>17</v>
      </c>
      <c r="C56" t="s">
        <v>1857</v>
      </c>
      <c r="D56" t="s">
        <v>187</v>
      </c>
      <c r="E56" t="s">
        <v>188</v>
      </c>
      <c r="F56" t="s">
        <v>189</v>
      </c>
      <c r="G56">
        <v>29</v>
      </c>
      <c r="H56">
        <v>656</v>
      </c>
      <c r="I56">
        <v>32</v>
      </c>
      <c r="J56">
        <v>341172</v>
      </c>
      <c r="K56">
        <v>30</v>
      </c>
      <c r="L56" t="s">
        <v>192</v>
      </c>
      <c r="M56" t="s">
        <v>25</v>
      </c>
      <c r="N56" t="s">
        <v>190</v>
      </c>
      <c r="O56" t="s">
        <v>191</v>
      </c>
      <c r="P56">
        <v>399</v>
      </c>
      <c r="Q56">
        <v>22</v>
      </c>
      <c r="R56">
        <v>645</v>
      </c>
      <c r="S56">
        <v>31</v>
      </c>
      <c r="T56" t="s">
        <v>191</v>
      </c>
      <c r="U56">
        <v>-7</v>
      </c>
      <c r="V56">
        <v>11</v>
      </c>
      <c r="W56">
        <v>11</v>
      </c>
      <c r="X56">
        <v>1</v>
      </c>
      <c r="Y56">
        <v>1.705426356589147</v>
      </c>
      <c r="Z56" t="s">
        <v>18</v>
      </c>
      <c r="AA56">
        <v>1</v>
      </c>
    </row>
    <row r="57" spans="1:27">
      <c r="A57" t="s">
        <v>1804</v>
      </c>
      <c r="B57" t="s">
        <v>17</v>
      </c>
      <c r="C57" t="s">
        <v>1858</v>
      </c>
      <c r="D57" t="s">
        <v>69</v>
      </c>
      <c r="E57" t="s">
        <v>70</v>
      </c>
      <c r="F57" t="s">
        <v>71</v>
      </c>
      <c r="G57">
        <v>9</v>
      </c>
      <c r="H57">
        <v>1158</v>
      </c>
      <c r="I57">
        <v>32</v>
      </c>
      <c r="J57">
        <v>83907</v>
      </c>
      <c r="K57">
        <v>30</v>
      </c>
      <c r="L57" t="s">
        <v>74</v>
      </c>
      <c r="M57" t="s">
        <v>25</v>
      </c>
      <c r="N57" t="s">
        <v>72</v>
      </c>
      <c r="O57" t="s">
        <v>73</v>
      </c>
      <c r="P57">
        <v>898</v>
      </c>
      <c r="Q57">
        <v>10</v>
      </c>
      <c r="R57">
        <v>1096</v>
      </c>
      <c r="S57">
        <v>31</v>
      </c>
      <c r="T57" t="s">
        <v>73</v>
      </c>
      <c r="U57">
        <v>1</v>
      </c>
      <c r="V57">
        <v>62</v>
      </c>
      <c r="W57">
        <v>62</v>
      </c>
      <c r="X57">
        <v>1</v>
      </c>
      <c r="Y57">
        <v>5.6569343065693429</v>
      </c>
      <c r="Z57" t="s">
        <v>18</v>
      </c>
      <c r="AA57">
        <v>1</v>
      </c>
    </row>
    <row r="58" spans="1:27">
      <c r="A58" t="s">
        <v>1804</v>
      </c>
      <c r="B58" t="s">
        <v>17</v>
      </c>
      <c r="C58" t="s">
        <v>1859</v>
      </c>
      <c r="D58" t="s">
        <v>358</v>
      </c>
      <c r="E58" t="s">
        <v>359</v>
      </c>
      <c r="F58" t="s">
        <v>360</v>
      </c>
      <c r="G58">
        <v>58</v>
      </c>
      <c r="H58">
        <v>249</v>
      </c>
      <c r="I58">
        <v>15</v>
      </c>
      <c r="J58">
        <v>43502</v>
      </c>
      <c r="K58">
        <v>29</v>
      </c>
      <c r="L58" t="s">
        <v>363</v>
      </c>
      <c r="M58" t="s">
        <v>25</v>
      </c>
      <c r="N58" t="s">
        <v>361</v>
      </c>
      <c r="O58" t="s">
        <v>362</v>
      </c>
      <c r="P58">
        <v>249</v>
      </c>
      <c r="Q58">
        <v>58</v>
      </c>
      <c r="R58">
        <v>240</v>
      </c>
      <c r="S58">
        <v>15</v>
      </c>
      <c r="T58" t="s">
        <v>362</v>
      </c>
      <c r="U58">
        <v>0</v>
      </c>
      <c r="V58">
        <v>9</v>
      </c>
      <c r="W58">
        <v>9</v>
      </c>
      <c r="X58">
        <v>0</v>
      </c>
      <c r="Y58">
        <v>3.75</v>
      </c>
      <c r="Z58" t="s">
        <v>18</v>
      </c>
      <c r="AA58">
        <v>1</v>
      </c>
    </row>
    <row r="59" spans="1:27">
      <c r="A59" t="s">
        <v>1804</v>
      </c>
      <c r="B59" t="s">
        <v>17</v>
      </c>
      <c r="C59" t="s">
        <v>1860</v>
      </c>
      <c r="D59" t="s">
        <v>352</v>
      </c>
      <c r="E59" t="s">
        <v>353</v>
      </c>
      <c r="F59" t="s">
        <v>354</v>
      </c>
      <c r="G59">
        <v>57</v>
      </c>
      <c r="H59">
        <v>128</v>
      </c>
      <c r="I59">
        <v>106</v>
      </c>
      <c r="J59">
        <v>205481</v>
      </c>
      <c r="K59">
        <v>30</v>
      </c>
      <c r="L59" t="s">
        <v>357</v>
      </c>
      <c r="M59" t="s">
        <v>25</v>
      </c>
      <c r="N59" t="s">
        <v>355</v>
      </c>
      <c r="O59" t="s">
        <v>356</v>
      </c>
      <c r="P59">
        <v>589</v>
      </c>
      <c r="Q59">
        <v>61</v>
      </c>
      <c r="R59">
        <v>121</v>
      </c>
      <c r="S59">
        <v>103</v>
      </c>
      <c r="T59" t="s">
        <v>356</v>
      </c>
      <c r="U59">
        <v>4</v>
      </c>
      <c r="V59">
        <v>7</v>
      </c>
      <c r="W59">
        <v>7</v>
      </c>
      <c r="X59">
        <v>3</v>
      </c>
      <c r="Y59">
        <v>5.785123966942149</v>
      </c>
      <c r="Z59" t="s">
        <v>18</v>
      </c>
      <c r="AA59">
        <v>1</v>
      </c>
    </row>
    <row r="60" spans="1:27">
      <c r="A60" t="s">
        <v>1804</v>
      </c>
      <c r="B60" t="s">
        <v>17</v>
      </c>
      <c r="C60" t="s">
        <v>1861</v>
      </c>
      <c r="D60" t="s">
        <v>520</v>
      </c>
      <c r="E60" t="s">
        <v>521</v>
      </c>
      <c r="F60" t="s">
        <v>522</v>
      </c>
      <c r="G60">
        <v>86</v>
      </c>
      <c r="H60">
        <v>942</v>
      </c>
      <c r="I60">
        <v>15</v>
      </c>
      <c r="J60">
        <v>48316</v>
      </c>
      <c r="K60">
        <v>14</v>
      </c>
      <c r="L60" t="s">
        <v>525</v>
      </c>
      <c r="M60" t="s">
        <v>44</v>
      </c>
      <c r="N60" t="s">
        <v>523</v>
      </c>
      <c r="O60" t="s">
        <v>524</v>
      </c>
      <c r="P60">
        <v>453</v>
      </c>
      <c r="Q60">
        <v>81</v>
      </c>
      <c r="R60">
        <v>934</v>
      </c>
      <c r="S60">
        <v>15</v>
      </c>
      <c r="T60" t="s">
        <v>524</v>
      </c>
      <c r="U60">
        <v>-5</v>
      </c>
      <c r="V60">
        <v>8</v>
      </c>
      <c r="W60">
        <v>8</v>
      </c>
      <c r="X60">
        <v>0</v>
      </c>
      <c r="Y60">
        <v>0.85653104925053536</v>
      </c>
      <c r="Z60" t="s">
        <v>18</v>
      </c>
      <c r="AA60">
        <v>1</v>
      </c>
    </row>
    <row r="61" spans="1:27">
      <c r="A61" t="s">
        <v>1804</v>
      </c>
      <c r="B61" t="s">
        <v>17</v>
      </c>
      <c r="C61" t="s">
        <v>1862</v>
      </c>
      <c r="D61" t="s">
        <v>538</v>
      </c>
      <c r="E61" t="s">
        <v>539</v>
      </c>
      <c r="F61" t="s">
        <v>540</v>
      </c>
      <c r="G61">
        <v>89</v>
      </c>
      <c r="H61">
        <v>236</v>
      </c>
      <c r="I61">
        <v>28</v>
      </c>
      <c r="J61">
        <v>76371</v>
      </c>
      <c r="K61">
        <v>27</v>
      </c>
      <c r="L61" t="s">
        <v>543</v>
      </c>
      <c r="M61" t="s">
        <v>25</v>
      </c>
      <c r="N61" t="s">
        <v>541</v>
      </c>
      <c r="O61" t="s">
        <v>542</v>
      </c>
      <c r="P61">
        <v>177</v>
      </c>
      <c r="Q61">
        <v>85</v>
      </c>
      <c r="R61">
        <v>234</v>
      </c>
      <c r="S61">
        <v>27</v>
      </c>
      <c r="T61" t="s">
        <v>542</v>
      </c>
      <c r="U61">
        <v>-4</v>
      </c>
      <c r="V61">
        <v>2</v>
      </c>
      <c r="W61">
        <v>2</v>
      </c>
      <c r="X61">
        <v>1</v>
      </c>
      <c r="Y61">
        <v>0.85470085470085477</v>
      </c>
      <c r="Z61" t="s">
        <v>18</v>
      </c>
      <c r="AA61">
        <v>1</v>
      </c>
    </row>
    <row r="62" spans="1:27">
      <c r="A62" t="s">
        <v>1804</v>
      </c>
      <c r="B62" t="s">
        <v>17</v>
      </c>
      <c r="C62" t="s">
        <v>1863</v>
      </c>
      <c r="D62" t="s">
        <v>87</v>
      </c>
      <c r="E62" t="s">
        <v>88</v>
      </c>
      <c r="F62" t="s">
        <v>89</v>
      </c>
      <c r="G62">
        <v>12</v>
      </c>
      <c r="H62">
        <v>1590</v>
      </c>
      <c r="I62">
        <v>32</v>
      </c>
      <c r="J62">
        <v>140783</v>
      </c>
      <c r="K62">
        <v>27</v>
      </c>
      <c r="L62" t="s">
        <v>92</v>
      </c>
      <c r="M62" t="s">
        <v>25</v>
      </c>
      <c r="N62" t="s">
        <v>90</v>
      </c>
      <c r="O62" t="s">
        <v>91</v>
      </c>
      <c r="P62">
        <v>465</v>
      </c>
      <c r="Q62">
        <v>12</v>
      </c>
      <c r="R62">
        <v>1570</v>
      </c>
      <c r="S62">
        <v>31</v>
      </c>
      <c r="T62" t="s">
        <v>91</v>
      </c>
      <c r="U62">
        <v>0</v>
      </c>
      <c r="V62">
        <v>20</v>
      </c>
      <c r="W62">
        <v>20</v>
      </c>
      <c r="X62">
        <v>1</v>
      </c>
      <c r="Y62">
        <v>1.2738853503184711</v>
      </c>
      <c r="Z62" t="s">
        <v>18</v>
      </c>
      <c r="AA62">
        <v>1</v>
      </c>
    </row>
    <row r="63" spans="1:27">
      <c r="A63" t="s">
        <v>1804</v>
      </c>
      <c r="B63" t="s">
        <v>17</v>
      </c>
      <c r="C63" t="s">
        <v>1864</v>
      </c>
      <c r="D63" t="s">
        <v>310</v>
      </c>
      <c r="E63" t="s">
        <v>311</v>
      </c>
      <c r="F63" t="s">
        <v>312</v>
      </c>
      <c r="G63">
        <v>50</v>
      </c>
      <c r="H63">
        <v>387</v>
      </c>
      <c r="I63">
        <v>28</v>
      </c>
      <c r="J63">
        <v>69182</v>
      </c>
      <c r="K63">
        <v>27</v>
      </c>
      <c r="L63" t="s">
        <v>315</v>
      </c>
      <c r="M63" t="s">
        <v>25</v>
      </c>
      <c r="N63" t="s">
        <v>313</v>
      </c>
      <c r="O63" t="s">
        <v>314</v>
      </c>
      <c r="P63">
        <v>288</v>
      </c>
      <c r="Q63">
        <v>55</v>
      </c>
      <c r="R63">
        <v>356</v>
      </c>
      <c r="S63">
        <v>27</v>
      </c>
      <c r="T63" t="s">
        <v>314</v>
      </c>
      <c r="U63">
        <v>5</v>
      </c>
      <c r="V63">
        <v>31</v>
      </c>
      <c r="W63">
        <v>31</v>
      </c>
      <c r="X63">
        <v>1</v>
      </c>
      <c r="Y63">
        <v>8.7078651685393265</v>
      </c>
      <c r="Z63" t="s">
        <v>18</v>
      </c>
      <c r="AA63">
        <v>1</v>
      </c>
    </row>
    <row r="64" spans="1:27">
      <c r="A64" t="s">
        <v>1804</v>
      </c>
      <c r="B64" t="s">
        <v>17</v>
      </c>
      <c r="C64" t="s">
        <v>1865</v>
      </c>
      <c r="D64" t="s">
        <v>26</v>
      </c>
      <c r="E64" t="s">
        <v>27</v>
      </c>
      <c r="F64" t="s">
        <v>28</v>
      </c>
      <c r="G64">
        <v>2</v>
      </c>
      <c r="H64">
        <v>4608</v>
      </c>
      <c r="I64">
        <v>104</v>
      </c>
      <c r="J64">
        <v>626994</v>
      </c>
      <c r="K64">
        <v>27</v>
      </c>
      <c r="L64" t="s">
        <v>31</v>
      </c>
      <c r="M64" t="s">
        <v>25</v>
      </c>
      <c r="N64" t="s">
        <v>29</v>
      </c>
      <c r="O64" t="s">
        <v>30</v>
      </c>
      <c r="P64">
        <v>428</v>
      </c>
      <c r="Q64">
        <v>2</v>
      </c>
      <c r="R64">
        <v>4435</v>
      </c>
      <c r="S64">
        <v>102</v>
      </c>
      <c r="T64" t="s">
        <v>30</v>
      </c>
      <c r="U64">
        <v>0</v>
      </c>
      <c r="V64">
        <v>173</v>
      </c>
      <c r="W64">
        <v>173</v>
      </c>
      <c r="X64">
        <v>2</v>
      </c>
      <c r="Y64">
        <v>3.9007891770011272</v>
      </c>
      <c r="Z64" t="s">
        <v>18</v>
      </c>
      <c r="AA64">
        <v>1</v>
      </c>
    </row>
    <row r="65" spans="1:27">
      <c r="A65" t="s">
        <v>1804</v>
      </c>
      <c r="B65" t="s">
        <v>17</v>
      </c>
      <c r="C65" t="s">
        <v>1866</v>
      </c>
      <c r="D65" t="s">
        <v>328</v>
      </c>
      <c r="E65" t="s">
        <v>329</v>
      </c>
      <c r="F65" t="s">
        <v>330</v>
      </c>
      <c r="G65">
        <v>53</v>
      </c>
      <c r="H65">
        <v>181</v>
      </c>
      <c r="I65">
        <v>39</v>
      </c>
      <c r="J65">
        <v>102415</v>
      </c>
      <c r="K65">
        <v>18</v>
      </c>
      <c r="L65" t="s">
        <v>333</v>
      </c>
      <c r="M65" t="s">
        <v>25</v>
      </c>
      <c r="N65" t="s">
        <v>331</v>
      </c>
      <c r="O65" t="s">
        <v>332</v>
      </c>
      <c r="P65">
        <v>123</v>
      </c>
      <c r="Q65">
        <v>53</v>
      </c>
      <c r="R65">
        <v>163</v>
      </c>
      <c r="S65">
        <v>38</v>
      </c>
      <c r="T65" t="s">
        <v>332</v>
      </c>
      <c r="U65">
        <v>0</v>
      </c>
      <c r="V65">
        <v>18</v>
      </c>
      <c r="W65">
        <v>18</v>
      </c>
      <c r="X65">
        <v>1</v>
      </c>
      <c r="Y65">
        <v>11.04294478527607</v>
      </c>
      <c r="Z65" t="s">
        <v>18</v>
      </c>
      <c r="AA65">
        <v>1</v>
      </c>
    </row>
    <row r="66" spans="1:27">
      <c r="A66" t="s">
        <v>1804</v>
      </c>
      <c r="B66" t="s">
        <v>17</v>
      </c>
      <c r="C66" t="s">
        <v>1867</v>
      </c>
      <c r="D66" t="s">
        <v>515</v>
      </c>
      <c r="E66" t="s">
        <v>288</v>
      </c>
      <c r="F66" t="s">
        <v>516</v>
      </c>
      <c r="G66">
        <v>85</v>
      </c>
      <c r="H66">
        <v>531</v>
      </c>
      <c r="I66">
        <v>24</v>
      </c>
      <c r="J66">
        <v>83387</v>
      </c>
      <c r="K66">
        <v>23</v>
      </c>
      <c r="L66" t="s">
        <v>519</v>
      </c>
      <c r="M66" t="s">
        <v>25</v>
      </c>
      <c r="N66" t="s">
        <v>517</v>
      </c>
      <c r="O66" t="s">
        <v>518</v>
      </c>
      <c r="P66">
        <v>444</v>
      </c>
      <c r="Q66">
        <v>82</v>
      </c>
      <c r="R66">
        <v>522</v>
      </c>
      <c r="S66">
        <v>23</v>
      </c>
      <c r="T66" t="s">
        <v>518</v>
      </c>
      <c r="U66">
        <v>-3</v>
      </c>
      <c r="V66">
        <v>9</v>
      </c>
      <c r="W66">
        <v>9</v>
      </c>
      <c r="X66">
        <v>1</v>
      </c>
      <c r="Y66">
        <v>1.7241379310344831</v>
      </c>
      <c r="Z66" t="s">
        <v>18</v>
      </c>
      <c r="AA66">
        <v>1</v>
      </c>
    </row>
    <row r="67" spans="1:27">
      <c r="A67" t="s">
        <v>1804</v>
      </c>
      <c r="B67" t="s">
        <v>17</v>
      </c>
      <c r="C67" t="s">
        <v>1868</v>
      </c>
      <c r="D67" t="s">
        <v>421</v>
      </c>
      <c r="E67" t="s">
        <v>422</v>
      </c>
      <c r="F67" t="s">
        <v>423</v>
      </c>
      <c r="G67">
        <v>69</v>
      </c>
      <c r="H67">
        <v>260</v>
      </c>
      <c r="I67">
        <v>23</v>
      </c>
      <c r="J67">
        <v>93118</v>
      </c>
      <c r="K67">
        <v>24</v>
      </c>
      <c r="L67" t="s">
        <v>426</v>
      </c>
      <c r="M67" t="s">
        <v>25</v>
      </c>
      <c r="N67" t="s">
        <v>424</v>
      </c>
      <c r="O67" t="s">
        <v>425</v>
      </c>
      <c r="P67">
        <v>499</v>
      </c>
      <c r="Q67">
        <v>69</v>
      </c>
      <c r="R67">
        <v>255</v>
      </c>
      <c r="S67">
        <v>23</v>
      </c>
      <c r="T67" t="s">
        <v>425</v>
      </c>
      <c r="U67">
        <v>0</v>
      </c>
      <c r="V67">
        <v>5</v>
      </c>
      <c r="W67">
        <v>5</v>
      </c>
      <c r="X67">
        <v>0</v>
      </c>
      <c r="Y67">
        <v>1.9607843137254899</v>
      </c>
      <c r="Z67" t="s">
        <v>18</v>
      </c>
      <c r="AA67">
        <v>1</v>
      </c>
    </row>
    <row r="68" spans="1:27">
      <c r="A68" t="s">
        <v>1804</v>
      </c>
      <c r="B68" t="s">
        <v>17</v>
      </c>
      <c r="C68" t="s">
        <v>1869</v>
      </c>
      <c r="D68" t="s">
        <v>32</v>
      </c>
      <c r="E68" t="s">
        <v>33</v>
      </c>
      <c r="F68" t="s">
        <v>34</v>
      </c>
      <c r="G68">
        <v>3</v>
      </c>
      <c r="H68">
        <v>3019</v>
      </c>
      <c r="I68">
        <v>25</v>
      </c>
      <c r="J68">
        <v>79035</v>
      </c>
      <c r="K68">
        <v>20</v>
      </c>
      <c r="L68" t="s">
        <v>37</v>
      </c>
      <c r="M68" t="s">
        <v>25</v>
      </c>
      <c r="N68" t="s">
        <v>35</v>
      </c>
      <c r="O68" t="s">
        <v>36</v>
      </c>
      <c r="P68">
        <v>573</v>
      </c>
      <c r="Q68">
        <v>4</v>
      </c>
      <c r="R68">
        <v>2788</v>
      </c>
      <c r="S68">
        <v>23</v>
      </c>
      <c r="T68" t="s">
        <v>36</v>
      </c>
      <c r="U68">
        <v>1</v>
      </c>
      <c r="V68">
        <v>231</v>
      </c>
      <c r="W68">
        <v>231</v>
      </c>
      <c r="X68">
        <v>2</v>
      </c>
      <c r="Y68">
        <v>8.2855093256814918</v>
      </c>
      <c r="Z68" t="s">
        <v>18</v>
      </c>
      <c r="AA68">
        <v>1</v>
      </c>
    </row>
    <row r="69" spans="1:27">
      <c r="A69" t="s">
        <v>1804</v>
      </c>
      <c r="B69" t="s">
        <v>17</v>
      </c>
      <c r="C69" t="s">
        <v>1870</v>
      </c>
      <c r="D69" t="s">
        <v>152</v>
      </c>
      <c r="E69" t="s">
        <v>153</v>
      </c>
      <c r="F69" t="s">
        <v>154</v>
      </c>
      <c r="G69">
        <v>23</v>
      </c>
      <c r="H69">
        <v>840</v>
      </c>
      <c r="I69">
        <v>21</v>
      </c>
      <c r="J69">
        <v>267638</v>
      </c>
      <c r="K69">
        <v>19</v>
      </c>
      <c r="L69" t="s">
        <v>157</v>
      </c>
      <c r="M69" t="s">
        <v>25</v>
      </c>
      <c r="N69" t="s">
        <v>155</v>
      </c>
      <c r="O69" t="s">
        <v>156</v>
      </c>
      <c r="P69">
        <v>551</v>
      </c>
      <c r="Q69">
        <v>21</v>
      </c>
      <c r="R69">
        <v>801</v>
      </c>
      <c r="S69">
        <v>20</v>
      </c>
      <c r="T69" t="s">
        <v>156</v>
      </c>
      <c r="U69">
        <v>-2</v>
      </c>
      <c r="V69">
        <v>39</v>
      </c>
      <c r="W69">
        <v>39</v>
      </c>
      <c r="X69">
        <v>1</v>
      </c>
      <c r="Y69">
        <v>4.868913857677903</v>
      </c>
      <c r="Z69" t="s">
        <v>18</v>
      </c>
      <c r="AA69">
        <v>1</v>
      </c>
    </row>
    <row r="70" spans="1:27">
      <c r="A70" t="s">
        <v>1804</v>
      </c>
      <c r="B70" t="s">
        <v>17</v>
      </c>
      <c r="C70" t="s">
        <v>1871</v>
      </c>
      <c r="D70" t="s">
        <v>334</v>
      </c>
      <c r="E70" t="s">
        <v>335</v>
      </c>
      <c r="F70" t="s">
        <v>336</v>
      </c>
      <c r="G70">
        <v>54</v>
      </c>
      <c r="H70">
        <v>320</v>
      </c>
      <c r="I70">
        <v>23</v>
      </c>
      <c r="J70">
        <v>50364</v>
      </c>
      <c r="K70">
        <v>22</v>
      </c>
      <c r="L70" t="s">
        <v>339</v>
      </c>
      <c r="M70" t="s">
        <v>25</v>
      </c>
      <c r="N70" t="s">
        <v>337</v>
      </c>
      <c r="O70" t="s">
        <v>338</v>
      </c>
      <c r="P70">
        <v>517</v>
      </c>
      <c r="Q70">
        <v>52</v>
      </c>
      <c r="R70">
        <v>311</v>
      </c>
      <c r="S70">
        <v>23</v>
      </c>
      <c r="T70" t="s">
        <v>338</v>
      </c>
      <c r="U70">
        <v>-2</v>
      </c>
      <c r="V70">
        <v>9</v>
      </c>
      <c r="W70">
        <v>9</v>
      </c>
      <c r="X70">
        <v>0</v>
      </c>
      <c r="Y70">
        <v>2.893890675241158</v>
      </c>
      <c r="Z70" t="s">
        <v>18</v>
      </c>
      <c r="AA70">
        <v>1</v>
      </c>
    </row>
    <row r="71" spans="1:27">
      <c r="A71" t="s">
        <v>1804</v>
      </c>
      <c r="B71" t="s">
        <v>17</v>
      </c>
      <c r="C71" t="s">
        <v>1872</v>
      </c>
      <c r="D71" t="s">
        <v>240</v>
      </c>
      <c r="E71" t="s">
        <v>153</v>
      </c>
      <c r="F71" t="s">
        <v>241</v>
      </c>
      <c r="G71">
        <v>38</v>
      </c>
      <c r="H71">
        <v>1675</v>
      </c>
      <c r="I71">
        <v>24</v>
      </c>
      <c r="J71">
        <v>273891</v>
      </c>
      <c r="K71">
        <v>22</v>
      </c>
      <c r="L71" t="s">
        <v>244</v>
      </c>
      <c r="M71" t="s">
        <v>25</v>
      </c>
      <c r="N71" t="s">
        <v>242</v>
      </c>
      <c r="O71" t="s">
        <v>243</v>
      </c>
      <c r="P71">
        <v>835</v>
      </c>
      <c r="Q71">
        <v>38</v>
      </c>
      <c r="R71">
        <v>1647</v>
      </c>
      <c r="S71">
        <v>23</v>
      </c>
      <c r="T71" t="s">
        <v>243</v>
      </c>
      <c r="U71">
        <v>0</v>
      </c>
      <c r="V71">
        <v>28</v>
      </c>
      <c r="W71">
        <v>28</v>
      </c>
      <c r="X71">
        <v>1</v>
      </c>
      <c r="Y71">
        <v>1.700060716454159</v>
      </c>
      <c r="Z71" t="s">
        <v>18</v>
      </c>
      <c r="AA71">
        <v>1</v>
      </c>
    </row>
    <row r="72" spans="1:27">
      <c r="A72" t="s">
        <v>1804</v>
      </c>
      <c r="B72" t="s">
        <v>17</v>
      </c>
      <c r="C72" t="s">
        <v>1873</v>
      </c>
      <c r="D72" t="s">
        <v>134</v>
      </c>
      <c r="E72" t="s">
        <v>135</v>
      </c>
      <c r="F72" t="s">
        <v>136</v>
      </c>
      <c r="G72">
        <v>20</v>
      </c>
      <c r="H72">
        <v>731</v>
      </c>
      <c r="I72">
        <v>27</v>
      </c>
      <c r="J72">
        <v>182412</v>
      </c>
      <c r="K72">
        <v>21</v>
      </c>
      <c r="L72" t="s">
        <v>139</v>
      </c>
      <c r="M72" t="s">
        <v>25</v>
      </c>
      <c r="N72" t="s">
        <v>137</v>
      </c>
      <c r="O72" t="s">
        <v>138</v>
      </c>
      <c r="P72">
        <v>384</v>
      </c>
      <c r="Q72">
        <v>19</v>
      </c>
      <c r="R72">
        <v>697</v>
      </c>
      <c r="S72">
        <v>26</v>
      </c>
      <c r="T72" t="s">
        <v>138</v>
      </c>
      <c r="U72">
        <v>-1</v>
      </c>
      <c r="V72">
        <v>34</v>
      </c>
      <c r="W72">
        <v>34</v>
      </c>
      <c r="X72">
        <v>1</v>
      </c>
      <c r="Y72">
        <v>4.8780487804878048</v>
      </c>
      <c r="Z72" t="s">
        <v>18</v>
      </c>
      <c r="AA72">
        <v>1</v>
      </c>
    </row>
    <row r="73" spans="1:27">
      <c r="A73" t="s">
        <v>1804</v>
      </c>
      <c r="B73" t="s">
        <v>17</v>
      </c>
      <c r="C73" t="s">
        <v>1874</v>
      </c>
      <c r="D73" t="s">
        <v>526</v>
      </c>
      <c r="E73" t="s">
        <v>527</v>
      </c>
      <c r="F73" t="s">
        <v>528</v>
      </c>
      <c r="G73">
        <v>87</v>
      </c>
      <c r="H73">
        <v>269</v>
      </c>
      <c r="I73">
        <v>23</v>
      </c>
      <c r="J73">
        <v>63173</v>
      </c>
      <c r="K73">
        <v>19</v>
      </c>
      <c r="L73" t="s">
        <v>531</v>
      </c>
      <c r="M73" t="s">
        <v>25</v>
      </c>
      <c r="N73" t="s">
        <v>529</v>
      </c>
      <c r="O73" t="s">
        <v>530</v>
      </c>
      <c r="P73">
        <v>820</v>
      </c>
      <c r="Q73">
        <v>70</v>
      </c>
      <c r="R73">
        <v>267</v>
      </c>
      <c r="S73">
        <v>23</v>
      </c>
      <c r="T73" t="s">
        <v>530</v>
      </c>
      <c r="U73">
        <v>-17</v>
      </c>
      <c r="V73">
        <v>2</v>
      </c>
      <c r="W73">
        <v>2</v>
      </c>
      <c r="X73">
        <v>0</v>
      </c>
      <c r="Y73">
        <v>0.74906367041198507</v>
      </c>
      <c r="Z73" t="s">
        <v>18</v>
      </c>
      <c r="AA73">
        <v>1</v>
      </c>
    </row>
    <row r="74" spans="1:27">
      <c r="A74" t="s">
        <v>1804</v>
      </c>
      <c r="B74" t="s">
        <v>17</v>
      </c>
      <c r="C74" t="s">
        <v>1875</v>
      </c>
      <c r="D74" t="s">
        <v>572</v>
      </c>
      <c r="E74" t="s">
        <v>573</v>
      </c>
      <c r="F74" t="s">
        <v>574</v>
      </c>
      <c r="G74">
        <v>95</v>
      </c>
      <c r="H74">
        <v>266</v>
      </c>
      <c r="I74">
        <v>22</v>
      </c>
      <c r="J74">
        <v>86341</v>
      </c>
      <c r="K74">
        <v>17</v>
      </c>
      <c r="L74" t="s">
        <v>577</v>
      </c>
      <c r="M74" t="s">
        <v>25</v>
      </c>
      <c r="N74" t="s">
        <v>575</v>
      </c>
      <c r="O74" t="s">
        <v>576</v>
      </c>
      <c r="P74">
        <v>457</v>
      </c>
      <c r="Q74">
        <v>96</v>
      </c>
      <c r="R74">
        <v>251</v>
      </c>
      <c r="S74">
        <v>22</v>
      </c>
      <c r="T74" t="s">
        <v>576</v>
      </c>
      <c r="U74">
        <v>1</v>
      </c>
      <c r="V74">
        <v>15</v>
      </c>
      <c r="W74">
        <v>15</v>
      </c>
      <c r="X74">
        <v>0</v>
      </c>
      <c r="Y74">
        <v>5.9760956175298796</v>
      </c>
      <c r="Z74" t="s">
        <v>18</v>
      </c>
      <c r="AA74">
        <v>1</v>
      </c>
    </row>
    <row r="75" spans="1:27">
      <c r="A75" t="s">
        <v>1804</v>
      </c>
      <c r="B75" t="s">
        <v>17</v>
      </c>
      <c r="C75" t="s">
        <v>1876</v>
      </c>
      <c r="D75" t="s">
        <v>181</v>
      </c>
      <c r="E75" t="s">
        <v>182</v>
      </c>
      <c r="F75" t="s">
        <v>183</v>
      </c>
      <c r="G75">
        <v>28</v>
      </c>
      <c r="H75">
        <v>693</v>
      </c>
      <c r="I75">
        <v>91</v>
      </c>
      <c r="J75">
        <v>716425</v>
      </c>
      <c r="K75">
        <v>21</v>
      </c>
      <c r="L75" t="s">
        <v>186</v>
      </c>
      <c r="M75" t="s">
        <v>25</v>
      </c>
      <c r="N75" t="s">
        <v>184</v>
      </c>
      <c r="O75" t="s">
        <v>185</v>
      </c>
      <c r="P75">
        <v>327</v>
      </c>
      <c r="Q75">
        <v>25</v>
      </c>
      <c r="R75">
        <v>667</v>
      </c>
      <c r="S75">
        <v>89</v>
      </c>
      <c r="T75" t="s">
        <v>185</v>
      </c>
      <c r="U75">
        <v>-3</v>
      </c>
      <c r="V75">
        <v>26</v>
      </c>
      <c r="W75">
        <v>26</v>
      </c>
      <c r="X75">
        <v>2</v>
      </c>
      <c r="Y75">
        <v>3.898050974512743</v>
      </c>
      <c r="Z75" t="s">
        <v>18</v>
      </c>
      <c r="AA75">
        <v>1</v>
      </c>
    </row>
    <row r="76" spans="1:27">
      <c r="A76" t="s">
        <v>1804</v>
      </c>
      <c r="B76" t="s">
        <v>17</v>
      </c>
      <c r="C76" t="s">
        <v>1877</v>
      </c>
      <c r="D76" t="s">
        <v>433</v>
      </c>
      <c r="E76" t="s">
        <v>434</v>
      </c>
      <c r="F76" t="s">
        <v>435</v>
      </c>
      <c r="G76">
        <v>71</v>
      </c>
      <c r="H76">
        <v>695</v>
      </c>
      <c r="I76">
        <v>9</v>
      </c>
      <c r="J76">
        <v>31962</v>
      </c>
      <c r="K76">
        <v>8</v>
      </c>
      <c r="L76" t="s">
        <v>438</v>
      </c>
      <c r="M76" t="s">
        <v>25</v>
      </c>
      <c r="N76" t="s">
        <v>436</v>
      </c>
      <c r="O76" t="s">
        <v>437</v>
      </c>
      <c r="P76">
        <v>202</v>
      </c>
      <c r="Q76">
        <v>57</v>
      </c>
      <c r="R76">
        <v>695</v>
      </c>
      <c r="S76">
        <v>9</v>
      </c>
      <c r="T76" t="s">
        <v>437</v>
      </c>
      <c r="U76">
        <v>-14</v>
      </c>
      <c r="V76">
        <v>0</v>
      </c>
      <c r="W76">
        <v>0</v>
      </c>
      <c r="X76">
        <v>0</v>
      </c>
      <c r="Y76">
        <v>0</v>
      </c>
      <c r="Z76" t="s">
        <v>18</v>
      </c>
      <c r="AA76">
        <v>1</v>
      </c>
    </row>
    <row r="77" spans="1:27">
      <c r="A77" t="s">
        <v>1804</v>
      </c>
      <c r="B77" t="s">
        <v>17</v>
      </c>
      <c r="C77" t="s">
        <v>1878</v>
      </c>
      <c r="D77" t="s">
        <v>122</v>
      </c>
      <c r="E77" t="s">
        <v>123</v>
      </c>
      <c r="F77" t="s">
        <v>124</v>
      </c>
      <c r="G77">
        <v>18</v>
      </c>
      <c r="H77">
        <v>665</v>
      </c>
      <c r="I77">
        <v>16</v>
      </c>
      <c r="J77">
        <v>53553</v>
      </c>
      <c r="K77">
        <v>15</v>
      </c>
      <c r="L77" t="s">
        <v>127</v>
      </c>
      <c r="M77" t="s">
        <v>25</v>
      </c>
      <c r="N77" t="s">
        <v>125</v>
      </c>
      <c r="O77" t="s">
        <v>126</v>
      </c>
      <c r="P77">
        <v>475</v>
      </c>
      <c r="Q77">
        <v>17</v>
      </c>
      <c r="R77">
        <v>637</v>
      </c>
      <c r="S77">
        <v>15</v>
      </c>
      <c r="T77" t="s">
        <v>126</v>
      </c>
      <c r="U77">
        <v>-1</v>
      </c>
      <c r="V77">
        <v>28</v>
      </c>
      <c r="W77">
        <v>28</v>
      </c>
      <c r="X77">
        <v>1</v>
      </c>
      <c r="Y77">
        <v>4.395604395604396</v>
      </c>
      <c r="Z77" t="s">
        <v>18</v>
      </c>
      <c r="AA77">
        <v>1</v>
      </c>
    </row>
    <row r="78" spans="1:27">
      <c r="A78" t="s">
        <v>1804</v>
      </c>
      <c r="B78" t="s">
        <v>17</v>
      </c>
      <c r="C78" t="s">
        <v>1879</v>
      </c>
      <c r="D78" t="s">
        <v>322</v>
      </c>
      <c r="E78" t="s">
        <v>323</v>
      </c>
      <c r="F78" t="s">
        <v>324</v>
      </c>
      <c r="G78">
        <v>52</v>
      </c>
      <c r="H78">
        <v>320</v>
      </c>
      <c r="I78">
        <v>19</v>
      </c>
      <c r="J78">
        <v>61102</v>
      </c>
      <c r="K78">
        <v>17</v>
      </c>
      <c r="L78" t="s">
        <v>327</v>
      </c>
      <c r="M78" t="s">
        <v>25</v>
      </c>
      <c r="N78" t="s">
        <v>325</v>
      </c>
      <c r="O78" t="s">
        <v>326</v>
      </c>
      <c r="P78">
        <v>577</v>
      </c>
      <c r="Q78">
        <v>49</v>
      </c>
      <c r="R78">
        <v>312</v>
      </c>
      <c r="S78">
        <v>18</v>
      </c>
      <c r="T78" t="s">
        <v>326</v>
      </c>
      <c r="U78">
        <v>-3</v>
      </c>
      <c r="V78">
        <v>8</v>
      </c>
      <c r="W78">
        <v>8</v>
      </c>
      <c r="X78">
        <v>1</v>
      </c>
      <c r="Y78">
        <v>2.5641025641025639</v>
      </c>
      <c r="Z78" t="s">
        <v>18</v>
      </c>
      <c r="AA78">
        <v>1</v>
      </c>
    </row>
    <row r="79" spans="1:27">
      <c r="A79" t="s">
        <v>1804</v>
      </c>
      <c r="B79" t="s">
        <v>17</v>
      </c>
      <c r="C79" t="s">
        <v>1880</v>
      </c>
      <c r="D79" t="s">
        <v>415</v>
      </c>
      <c r="E79" t="s">
        <v>416</v>
      </c>
      <c r="F79" t="s">
        <v>417</v>
      </c>
      <c r="G79">
        <v>68</v>
      </c>
      <c r="H79">
        <v>231</v>
      </c>
      <c r="I79">
        <v>20</v>
      </c>
      <c r="J79">
        <v>65628</v>
      </c>
      <c r="K79">
        <v>18</v>
      </c>
      <c r="L79" t="s">
        <v>420</v>
      </c>
      <c r="M79" t="s">
        <v>25</v>
      </c>
      <c r="N79" t="s">
        <v>418</v>
      </c>
      <c r="O79" t="s">
        <v>419</v>
      </c>
      <c r="P79">
        <v>280</v>
      </c>
      <c r="Q79">
        <v>68</v>
      </c>
      <c r="R79">
        <v>220</v>
      </c>
      <c r="S79">
        <v>19</v>
      </c>
      <c r="T79" t="s">
        <v>419</v>
      </c>
      <c r="U79">
        <v>0</v>
      </c>
      <c r="V79">
        <v>11</v>
      </c>
      <c r="W79">
        <v>11</v>
      </c>
      <c r="X79">
        <v>1</v>
      </c>
      <c r="Y79">
        <v>5</v>
      </c>
      <c r="Z79" t="s">
        <v>18</v>
      </c>
      <c r="AA79">
        <v>1</v>
      </c>
    </row>
    <row r="80" spans="1:27">
      <c r="A80" t="s">
        <v>1804</v>
      </c>
      <c r="B80" t="s">
        <v>17</v>
      </c>
      <c r="C80" t="s">
        <v>1881</v>
      </c>
      <c r="D80" t="s">
        <v>251</v>
      </c>
      <c r="E80" t="s">
        <v>252</v>
      </c>
      <c r="F80" t="s">
        <v>253</v>
      </c>
      <c r="G80">
        <v>40</v>
      </c>
      <c r="H80">
        <v>288</v>
      </c>
      <c r="I80">
        <v>26</v>
      </c>
      <c r="J80">
        <v>90451</v>
      </c>
      <c r="K80">
        <v>17</v>
      </c>
      <c r="L80" t="s">
        <v>256</v>
      </c>
      <c r="M80" t="s">
        <v>25</v>
      </c>
      <c r="N80" t="s">
        <v>254</v>
      </c>
      <c r="O80" t="s">
        <v>255</v>
      </c>
      <c r="P80">
        <v>602</v>
      </c>
      <c r="Q80">
        <v>40</v>
      </c>
      <c r="R80">
        <v>277</v>
      </c>
      <c r="S80">
        <v>25</v>
      </c>
      <c r="T80" t="s">
        <v>255</v>
      </c>
      <c r="U80">
        <v>0</v>
      </c>
      <c r="V80">
        <v>11</v>
      </c>
      <c r="W80">
        <v>11</v>
      </c>
      <c r="X80">
        <v>1</v>
      </c>
      <c r="Y80">
        <v>3.9711191335740068</v>
      </c>
      <c r="Z80" t="s">
        <v>18</v>
      </c>
      <c r="AA80">
        <v>1</v>
      </c>
    </row>
    <row r="81" spans="1:27">
      <c r="A81" t="s">
        <v>1804</v>
      </c>
      <c r="B81" t="s">
        <v>17</v>
      </c>
      <c r="C81" t="s">
        <v>1882</v>
      </c>
      <c r="D81" t="s">
        <v>38</v>
      </c>
      <c r="E81" t="s">
        <v>39</v>
      </c>
      <c r="F81" t="s">
        <v>40</v>
      </c>
      <c r="G81">
        <v>4</v>
      </c>
      <c r="H81">
        <v>2394</v>
      </c>
      <c r="I81">
        <v>40</v>
      </c>
      <c r="J81">
        <v>127341</v>
      </c>
      <c r="K81">
        <v>18</v>
      </c>
      <c r="L81" t="s">
        <v>43</v>
      </c>
      <c r="M81" t="s">
        <v>44</v>
      </c>
      <c r="N81" t="s">
        <v>41</v>
      </c>
      <c r="O81" t="s">
        <v>42</v>
      </c>
      <c r="P81">
        <v>423</v>
      </c>
      <c r="Q81">
        <v>3</v>
      </c>
      <c r="R81">
        <v>2198</v>
      </c>
      <c r="S81">
        <v>37</v>
      </c>
      <c r="T81" t="s">
        <v>42</v>
      </c>
      <c r="U81">
        <v>-1</v>
      </c>
      <c r="V81">
        <v>196</v>
      </c>
      <c r="W81">
        <v>196</v>
      </c>
      <c r="X81">
        <v>3</v>
      </c>
      <c r="Y81">
        <v>8.9171974522292992</v>
      </c>
      <c r="Z81" t="s">
        <v>18</v>
      </c>
      <c r="AA81">
        <v>1</v>
      </c>
    </row>
    <row r="82" spans="1:27">
      <c r="A82" t="s">
        <v>1804</v>
      </c>
      <c r="B82" t="s">
        <v>17</v>
      </c>
      <c r="C82" t="s">
        <v>1883</v>
      </c>
      <c r="D82" t="s">
        <v>45</v>
      </c>
      <c r="E82" t="s">
        <v>46</v>
      </c>
      <c r="F82" t="s">
        <v>47</v>
      </c>
      <c r="G82">
        <v>5</v>
      </c>
      <c r="H82">
        <v>1697</v>
      </c>
      <c r="I82">
        <v>36</v>
      </c>
      <c r="J82">
        <v>248594</v>
      </c>
      <c r="K82">
        <v>17</v>
      </c>
      <c r="L82" t="s">
        <v>50</v>
      </c>
      <c r="M82" t="s">
        <v>25</v>
      </c>
      <c r="N82" t="s">
        <v>48</v>
      </c>
      <c r="O82" t="s">
        <v>49</v>
      </c>
      <c r="P82">
        <v>457</v>
      </c>
      <c r="Q82">
        <v>5</v>
      </c>
      <c r="R82">
        <v>1521</v>
      </c>
      <c r="S82">
        <v>35</v>
      </c>
      <c r="T82" t="s">
        <v>49</v>
      </c>
      <c r="U82">
        <v>0</v>
      </c>
      <c r="V82">
        <v>176</v>
      </c>
      <c r="W82">
        <v>176</v>
      </c>
      <c r="X82">
        <v>1</v>
      </c>
      <c r="Y82">
        <v>11.57133464825773</v>
      </c>
      <c r="Z82" t="s">
        <v>18</v>
      </c>
      <c r="AA82">
        <v>1</v>
      </c>
    </row>
    <row r="83" spans="1:27">
      <c r="A83" t="s">
        <v>1804</v>
      </c>
      <c r="B83" t="s">
        <v>17</v>
      </c>
      <c r="C83" t="s">
        <v>1884</v>
      </c>
      <c r="D83" t="s">
        <v>140</v>
      </c>
      <c r="E83" t="s">
        <v>141</v>
      </c>
      <c r="F83" t="s">
        <v>142</v>
      </c>
      <c r="G83">
        <v>21</v>
      </c>
      <c r="H83">
        <v>418</v>
      </c>
      <c r="I83">
        <v>25</v>
      </c>
      <c r="J83">
        <v>99641</v>
      </c>
      <c r="K83">
        <v>16</v>
      </c>
      <c r="L83" t="s">
        <v>145</v>
      </c>
      <c r="M83" t="s">
        <v>25</v>
      </c>
      <c r="N83" t="s">
        <v>143</v>
      </c>
      <c r="O83" t="s">
        <v>144</v>
      </c>
      <c r="P83">
        <v>558</v>
      </c>
      <c r="Q83">
        <v>20</v>
      </c>
      <c r="R83">
        <v>397</v>
      </c>
      <c r="S83">
        <v>23</v>
      </c>
      <c r="T83" t="s">
        <v>144</v>
      </c>
      <c r="U83">
        <v>-1</v>
      </c>
      <c r="V83">
        <v>21</v>
      </c>
      <c r="W83">
        <v>21</v>
      </c>
      <c r="X83">
        <v>2</v>
      </c>
      <c r="Y83">
        <v>5.2896725440806041</v>
      </c>
      <c r="Z83" t="s">
        <v>18</v>
      </c>
      <c r="AA83">
        <v>1</v>
      </c>
    </row>
    <row r="84" spans="1:27">
      <c r="A84" t="s">
        <v>1804</v>
      </c>
      <c r="B84" t="s">
        <v>17</v>
      </c>
      <c r="C84" t="s">
        <v>1885</v>
      </c>
      <c r="D84" t="s">
        <v>93</v>
      </c>
      <c r="E84" t="s">
        <v>94</v>
      </c>
      <c r="F84" t="s">
        <v>95</v>
      </c>
      <c r="G84">
        <v>13</v>
      </c>
      <c r="H84">
        <v>498</v>
      </c>
      <c r="I84">
        <v>67</v>
      </c>
      <c r="J84">
        <v>140141</v>
      </c>
      <c r="K84">
        <v>16</v>
      </c>
      <c r="L84" t="s">
        <v>98</v>
      </c>
      <c r="M84" t="s">
        <v>25</v>
      </c>
      <c r="N84" t="s">
        <v>96</v>
      </c>
      <c r="O84" t="s">
        <v>97</v>
      </c>
      <c r="P84">
        <v>791</v>
      </c>
      <c r="Q84">
        <v>13</v>
      </c>
      <c r="R84">
        <v>447</v>
      </c>
      <c r="S84">
        <v>63</v>
      </c>
      <c r="T84" t="s">
        <v>97</v>
      </c>
      <c r="U84">
        <v>0</v>
      </c>
      <c r="V84">
        <v>51</v>
      </c>
      <c r="W84">
        <v>51</v>
      </c>
      <c r="X84">
        <v>4</v>
      </c>
      <c r="Y84">
        <v>11.409395973154361</v>
      </c>
      <c r="Z84" t="s">
        <v>18</v>
      </c>
      <c r="AA84">
        <v>1</v>
      </c>
    </row>
    <row r="85" spans="1:27">
      <c r="A85" t="s">
        <v>1804</v>
      </c>
      <c r="B85" t="s">
        <v>17</v>
      </c>
      <c r="C85" t="s">
        <v>1886</v>
      </c>
      <c r="D85" t="s">
        <v>99</v>
      </c>
      <c r="E85" t="s">
        <v>100</v>
      </c>
      <c r="F85" t="s">
        <v>101</v>
      </c>
      <c r="G85">
        <v>14</v>
      </c>
      <c r="H85">
        <v>558</v>
      </c>
      <c r="I85">
        <v>18</v>
      </c>
      <c r="J85">
        <v>57546</v>
      </c>
      <c r="K85">
        <v>15</v>
      </c>
      <c r="L85" t="s">
        <v>104</v>
      </c>
      <c r="M85" t="s">
        <v>25</v>
      </c>
      <c r="N85" t="s">
        <v>102</v>
      </c>
      <c r="O85" t="s">
        <v>103</v>
      </c>
      <c r="P85">
        <v>337</v>
      </c>
      <c r="Q85">
        <v>15</v>
      </c>
      <c r="R85">
        <v>510</v>
      </c>
      <c r="S85">
        <v>16</v>
      </c>
      <c r="T85" t="s">
        <v>103</v>
      </c>
      <c r="U85">
        <v>1</v>
      </c>
      <c r="V85">
        <v>48</v>
      </c>
      <c r="W85">
        <v>48</v>
      </c>
      <c r="X85">
        <v>2</v>
      </c>
      <c r="Y85">
        <v>9.4117647058823533</v>
      </c>
      <c r="Z85" t="s">
        <v>18</v>
      </c>
      <c r="AA85">
        <v>1</v>
      </c>
    </row>
    <row r="86" spans="1:27">
      <c r="A86" t="s">
        <v>1804</v>
      </c>
      <c r="B86" t="s">
        <v>17</v>
      </c>
      <c r="C86" t="s">
        <v>1887</v>
      </c>
      <c r="D86" t="s">
        <v>287</v>
      </c>
      <c r="E86" t="s">
        <v>288</v>
      </c>
      <c r="F86" t="s">
        <v>289</v>
      </c>
      <c r="G86">
        <v>46</v>
      </c>
      <c r="H86">
        <v>226</v>
      </c>
      <c r="I86">
        <v>9</v>
      </c>
      <c r="J86">
        <v>26731</v>
      </c>
      <c r="K86">
        <v>9</v>
      </c>
      <c r="L86" t="s">
        <v>292</v>
      </c>
      <c r="M86" t="s">
        <v>25</v>
      </c>
      <c r="N86" t="s">
        <v>290</v>
      </c>
      <c r="O86" t="s">
        <v>291</v>
      </c>
      <c r="P86">
        <v>661</v>
      </c>
      <c r="Q86">
        <v>45</v>
      </c>
      <c r="R86">
        <v>212</v>
      </c>
      <c r="S86">
        <v>8</v>
      </c>
      <c r="T86" t="s">
        <v>291</v>
      </c>
      <c r="U86">
        <v>-1</v>
      </c>
      <c r="V86">
        <v>14</v>
      </c>
      <c r="W86">
        <v>14</v>
      </c>
      <c r="X86">
        <v>1</v>
      </c>
      <c r="Y86">
        <v>6.6037735849056602</v>
      </c>
      <c r="Z86" t="s">
        <v>18</v>
      </c>
      <c r="AA86">
        <v>1</v>
      </c>
    </row>
    <row r="87" spans="1:27">
      <c r="A87" t="s">
        <v>1804</v>
      </c>
      <c r="B87" t="s">
        <v>17</v>
      </c>
      <c r="C87" t="s">
        <v>1888</v>
      </c>
      <c r="D87" t="s">
        <v>375</v>
      </c>
      <c r="E87" t="s">
        <v>64</v>
      </c>
      <c r="F87" t="s">
        <v>376</v>
      </c>
      <c r="G87">
        <v>61</v>
      </c>
      <c r="H87">
        <v>149</v>
      </c>
      <c r="I87">
        <v>20</v>
      </c>
      <c r="J87">
        <v>136328</v>
      </c>
      <c r="K87">
        <v>12</v>
      </c>
      <c r="L87" t="s">
        <v>379</v>
      </c>
      <c r="M87" t="s">
        <v>25</v>
      </c>
      <c r="N87" t="s">
        <v>377</v>
      </c>
      <c r="O87" t="s">
        <v>378</v>
      </c>
      <c r="P87">
        <v>444</v>
      </c>
      <c r="Q87">
        <v>63</v>
      </c>
      <c r="R87">
        <v>144</v>
      </c>
      <c r="S87">
        <v>20</v>
      </c>
      <c r="T87" t="s">
        <v>378</v>
      </c>
      <c r="U87">
        <v>2</v>
      </c>
      <c r="V87">
        <v>5</v>
      </c>
      <c r="W87">
        <v>5</v>
      </c>
      <c r="X87">
        <v>0</v>
      </c>
      <c r="Y87">
        <v>3.4722222222222219</v>
      </c>
      <c r="Z87" t="s">
        <v>18</v>
      </c>
      <c r="AA87">
        <v>1</v>
      </c>
    </row>
    <row r="88" spans="1:27">
      <c r="A88" t="s">
        <v>1804</v>
      </c>
      <c r="B88" t="s">
        <v>17</v>
      </c>
      <c r="C88" t="s">
        <v>1889</v>
      </c>
      <c r="D88" t="s">
        <v>216</v>
      </c>
      <c r="E88" t="s">
        <v>217</v>
      </c>
      <c r="F88" t="s">
        <v>218</v>
      </c>
      <c r="G88">
        <v>34</v>
      </c>
      <c r="H88">
        <v>220</v>
      </c>
      <c r="I88">
        <v>31</v>
      </c>
      <c r="J88">
        <v>43520</v>
      </c>
      <c r="K88">
        <v>13</v>
      </c>
      <c r="L88" t="s">
        <v>221</v>
      </c>
      <c r="M88" t="s">
        <v>25</v>
      </c>
      <c r="N88" t="s">
        <v>219</v>
      </c>
      <c r="O88" t="s">
        <v>220</v>
      </c>
      <c r="P88">
        <v>262</v>
      </c>
      <c r="Q88">
        <v>42</v>
      </c>
      <c r="R88">
        <v>188</v>
      </c>
      <c r="S88">
        <v>30</v>
      </c>
      <c r="T88" t="s">
        <v>220</v>
      </c>
      <c r="U88">
        <v>8</v>
      </c>
      <c r="V88">
        <v>32</v>
      </c>
      <c r="W88">
        <v>32</v>
      </c>
      <c r="X88">
        <v>1</v>
      </c>
      <c r="Y88">
        <v>17.021276595744681</v>
      </c>
      <c r="Z88" t="s">
        <v>18</v>
      </c>
      <c r="AA88">
        <v>1</v>
      </c>
    </row>
    <row r="89" spans="1:27">
      <c r="A89" t="s">
        <v>1804</v>
      </c>
      <c r="B89" t="s">
        <v>17</v>
      </c>
      <c r="C89" t="s">
        <v>1890</v>
      </c>
      <c r="D89" t="s">
        <v>475</v>
      </c>
      <c r="E89" t="s">
        <v>264</v>
      </c>
      <c r="F89" t="s">
        <v>476</v>
      </c>
      <c r="G89">
        <v>78</v>
      </c>
      <c r="H89">
        <v>203</v>
      </c>
      <c r="I89">
        <v>76</v>
      </c>
      <c r="J89">
        <v>342955</v>
      </c>
      <c r="K89">
        <v>6</v>
      </c>
      <c r="L89" t="s">
        <v>479</v>
      </c>
      <c r="M89" t="s">
        <v>44</v>
      </c>
      <c r="N89" t="s">
        <v>477</v>
      </c>
      <c r="O89" t="s">
        <v>478</v>
      </c>
      <c r="P89">
        <v>266</v>
      </c>
      <c r="T89" t="s">
        <v>478</v>
      </c>
      <c r="Z89" t="s">
        <v>474</v>
      </c>
      <c r="AA89">
        <v>1</v>
      </c>
    </row>
    <row r="90" spans="1:27">
      <c r="A90" t="s">
        <v>1804</v>
      </c>
      <c r="B90" t="s">
        <v>17</v>
      </c>
      <c r="C90" t="s">
        <v>1891</v>
      </c>
      <c r="D90" t="s">
        <v>63</v>
      </c>
      <c r="E90" t="s">
        <v>64</v>
      </c>
      <c r="F90" t="s">
        <v>65</v>
      </c>
      <c r="G90">
        <v>8</v>
      </c>
      <c r="H90">
        <v>709</v>
      </c>
      <c r="I90">
        <v>20</v>
      </c>
      <c r="J90">
        <v>125100</v>
      </c>
      <c r="K90">
        <v>11</v>
      </c>
      <c r="L90" t="s">
        <v>68</v>
      </c>
      <c r="M90" t="s">
        <v>25</v>
      </c>
      <c r="N90" t="s">
        <v>66</v>
      </c>
      <c r="O90" t="s">
        <v>67</v>
      </c>
      <c r="P90">
        <v>373</v>
      </c>
      <c r="Q90">
        <v>8</v>
      </c>
      <c r="R90">
        <v>643</v>
      </c>
      <c r="S90">
        <v>20</v>
      </c>
      <c r="T90" t="s">
        <v>67</v>
      </c>
      <c r="U90">
        <v>0</v>
      </c>
      <c r="V90">
        <v>66</v>
      </c>
      <c r="W90">
        <v>66</v>
      </c>
      <c r="X90">
        <v>0</v>
      </c>
      <c r="Y90">
        <v>10.26438569206843</v>
      </c>
      <c r="Z90" t="s">
        <v>18</v>
      </c>
      <c r="AA90">
        <v>1</v>
      </c>
    </row>
    <row r="91" spans="1:27">
      <c r="A91" t="s">
        <v>1804</v>
      </c>
      <c r="B91" t="s">
        <v>17</v>
      </c>
      <c r="C91" t="s">
        <v>1892</v>
      </c>
      <c r="D91" t="s">
        <v>596</v>
      </c>
      <c r="E91" t="s">
        <v>597</v>
      </c>
      <c r="F91" t="s">
        <v>598</v>
      </c>
      <c r="G91">
        <v>99</v>
      </c>
      <c r="H91">
        <v>284</v>
      </c>
      <c r="I91">
        <v>11</v>
      </c>
      <c r="J91">
        <v>33316</v>
      </c>
      <c r="K91">
        <v>12</v>
      </c>
      <c r="L91" t="s">
        <v>601</v>
      </c>
      <c r="M91" t="s">
        <v>25</v>
      </c>
      <c r="N91" t="s">
        <v>599</v>
      </c>
      <c r="O91" t="s">
        <v>600</v>
      </c>
      <c r="P91">
        <v>45</v>
      </c>
      <c r="Q91">
        <v>83</v>
      </c>
      <c r="R91">
        <v>275</v>
      </c>
      <c r="S91">
        <v>10</v>
      </c>
      <c r="T91" t="s">
        <v>600</v>
      </c>
      <c r="U91">
        <v>-16</v>
      </c>
      <c r="V91">
        <v>9</v>
      </c>
      <c r="W91">
        <v>9</v>
      </c>
      <c r="X91">
        <v>1</v>
      </c>
      <c r="Y91">
        <v>3.2727272727272729</v>
      </c>
      <c r="Z91" t="s">
        <v>18</v>
      </c>
      <c r="AA91">
        <v>1</v>
      </c>
    </row>
    <row r="92" spans="1:27">
      <c r="A92" t="s">
        <v>1804</v>
      </c>
      <c r="B92" t="s">
        <v>17</v>
      </c>
      <c r="C92" t="s">
        <v>1893</v>
      </c>
      <c r="D92" t="s">
        <v>158</v>
      </c>
      <c r="E92" t="s">
        <v>159</v>
      </c>
      <c r="F92" t="s">
        <v>160</v>
      </c>
      <c r="G92">
        <v>24</v>
      </c>
      <c r="H92">
        <v>279</v>
      </c>
      <c r="I92">
        <v>13</v>
      </c>
      <c r="J92">
        <v>22690</v>
      </c>
      <c r="K92">
        <v>11</v>
      </c>
      <c r="L92" t="s">
        <v>163</v>
      </c>
      <c r="M92" t="s">
        <v>25</v>
      </c>
      <c r="N92" t="s">
        <v>161</v>
      </c>
      <c r="O92" t="s">
        <v>162</v>
      </c>
      <c r="P92">
        <v>206</v>
      </c>
      <c r="Q92">
        <v>24</v>
      </c>
      <c r="R92">
        <v>257</v>
      </c>
      <c r="S92">
        <v>12</v>
      </c>
      <c r="T92" t="s">
        <v>162</v>
      </c>
      <c r="U92">
        <v>0</v>
      </c>
      <c r="V92">
        <v>22</v>
      </c>
      <c r="W92">
        <v>22</v>
      </c>
      <c r="X92">
        <v>1</v>
      </c>
      <c r="Y92">
        <v>8.5603112840466924</v>
      </c>
      <c r="Z92" t="s">
        <v>18</v>
      </c>
      <c r="AA92">
        <v>1</v>
      </c>
    </row>
    <row r="93" spans="1:27">
      <c r="A93" t="s">
        <v>1804</v>
      </c>
      <c r="B93" t="s">
        <v>17</v>
      </c>
      <c r="C93" t="s">
        <v>1894</v>
      </c>
      <c r="D93" t="s">
        <v>146</v>
      </c>
      <c r="E93" t="s">
        <v>147</v>
      </c>
      <c r="F93" t="s">
        <v>148</v>
      </c>
      <c r="G93">
        <v>22</v>
      </c>
      <c r="H93">
        <v>241</v>
      </c>
      <c r="I93">
        <v>65</v>
      </c>
      <c r="J93">
        <v>161695</v>
      </c>
      <c r="K93">
        <v>8</v>
      </c>
      <c r="L93" t="s">
        <v>151</v>
      </c>
      <c r="M93" t="s">
        <v>25</v>
      </c>
      <c r="N93" t="s">
        <v>149</v>
      </c>
      <c r="O93" t="s">
        <v>150</v>
      </c>
      <c r="P93">
        <v>381</v>
      </c>
      <c r="Q93">
        <v>27</v>
      </c>
      <c r="R93">
        <v>193</v>
      </c>
      <c r="S93">
        <v>64</v>
      </c>
      <c r="T93" t="s">
        <v>150</v>
      </c>
      <c r="U93">
        <v>5</v>
      </c>
      <c r="V93">
        <v>48</v>
      </c>
      <c r="W93">
        <v>48</v>
      </c>
      <c r="X93">
        <v>1</v>
      </c>
      <c r="Y93">
        <v>24.870466321243519</v>
      </c>
      <c r="Z93" t="s">
        <v>18</v>
      </c>
      <c r="AA93">
        <v>1</v>
      </c>
    </row>
    <row r="94" spans="1:27">
      <c r="A94" t="s">
        <v>1804</v>
      </c>
      <c r="B94" t="s">
        <v>17</v>
      </c>
      <c r="C94" t="s">
        <v>1895</v>
      </c>
      <c r="D94" t="s">
        <v>193</v>
      </c>
      <c r="E94" t="s">
        <v>141</v>
      </c>
      <c r="F94" t="s">
        <v>194</v>
      </c>
      <c r="G94">
        <v>30</v>
      </c>
      <c r="H94">
        <v>144</v>
      </c>
      <c r="I94">
        <v>8</v>
      </c>
      <c r="J94">
        <v>33077</v>
      </c>
      <c r="K94">
        <v>5</v>
      </c>
      <c r="L94" t="s">
        <v>197</v>
      </c>
      <c r="M94" t="s">
        <v>25</v>
      </c>
      <c r="N94" t="s">
        <v>195</v>
      </c>
      <c r="O94" t="s">
        <v>196</v>
      </c>
      <c r="P94">
        <v>637</v>
      </c>
      <c r="Q94">
        <v>50</v>
      </c>
      <c r="R94">
        <v>121</v>
      </c>
      <c r="S94">
        <v>7</v>
      </c>
      <c r="T94" t="s">
        <v>196</v>
      </c>
      <c r="U94">
        <v>20</v>
      </c>
      <c r="V94">
        <v>23</v>
      </c>
      <c r="W94">
        <v>23</v>
      </c>
      <c r="X94">
        <v>1</v>
      </c>
      <c r="Y94">
        <v>19.008264462809919</v>
      </c>
      <c r="Z94" t="s">
        <v>18</v>
      </c>
      <c r="AA94">
        <v>1</v>
      </c>
    </row>
    <row r="95" spans="1:27">
      <c r="A95" t="s">
        <v>1804</v>
      </c>
      <c r="B95" t="s">
        <v>17</v>
      </c>
      <c r="C95" t="s">
        <v>1896</v>
      </c>
      <c r="D95" t="s">
        <v>116</v>
      </c>
      <c r="E95" t="s">
        <v>117</v>
      </c>
      <c r="F95" t="s">
        <v>118</v>
      </c>
      <c r="G95">
        <v>17</v>
      </c>
      <c r="H95">
        <v>272</v>
      </c>
      <c r="I95">
        <v>16</v>
      </c>
      <c r="J95">
        <v>115885</v>
      </c>
      <c r="K95">
        <v>7</v>
      </c>
      <c r="L95" t="s">
        <v>121</v>
      </c>
      <c r="M95" t="s">
        <v>25</v>
      </c>
      <c r="N95" t="s">
        <v>119</v>
      </c>
      <c r="O95" t="s">
        <v>120</v>
      </c>
      <c r="P95">
        <v>528</v>
      </c>
      <c r="Q95">
        <v>23</v>
      </c>
      <c r="R95">
        <v>169</v>
      </c>
      <c r="S95">
        <v>15</v>
      </c>
      <c r="T95" t="s">
        <v>120</v>
      </c>
      <c r="U95">
        <v>6</v>
      </c>
      <c r="V95">
        <v>103</v>
      </c>
      <c r="W95">
        <v>103</v>
      </c>
      <c r="X95">
        <v>1</v>
      </c>
      <c r="Y95">
        <v>60.946745562130182</v>
      </c>
      <c r="Z95" t="s">
        <v>18</v>
      </c>
      <c r="AA95">
        <v>1</v>
      </c>
    </row>
    <row r="96" spans="1:27">
      <c r="A96" t="s">
        <v>1804</v>
      </c>
      <c r="B96" t="s">
        <v>17</v>
      </c>
      <c r="C96" t="s">
        <v>1897</v>
      </c>
      <c r="D96" t="s">
        <v>450</v>
      </c>
      <c r="E96" t="s">
        <v>451</v>
      </c>
      <c r="F96" t="s">
        <v>452</v>
      </c>
      <c r="G96">
        <v>74</v>
      </c>
      <c r="H96">
        <v>116</v>
      </c>
      <c r="I96">
        <v>8</v>
      </c>
      <c r="J96">
        <v>13798</v>
      </c>
      <c r="K96">
        <v>7</v>
      </c>
      <c r="L96" t="s">
        <v>455</v>
      </c>
      <c r="M96" t="s">
        <v>25</v>
      </c>
      <c r="N96" t="s">
        <v>453</v>
      </c>
      <c r="O96" t="s">
        <v>454</v>
      </c>
      <c r="P96">
        <v>575</v>
      </c>
      <c r="Q96">
        <v>87</v>
      </c>
      <c r="R96">
        <v>98</v>
      </c>
      <c r="S96">
        <v>7</v>
      </c>
      <c r="T96" t="s">
        <v>454</v>
      </c>
      <c r="U96">
        <v>13</v>
      </c>
      <c r="V96">
        <v>18</v>
      </c>
      <c r="W96">
        <v>18</v>
      </c>
      <c r="X96">
        <v>1</v>
      </c>
      <c r="Y96">
        <v>18.367346938775508</v>
      </c>
      <c r="Z96" t="s">
        <v>18</v>
      </c>
      <c r="AA96">
        <v>1</v>
      </c>
    </row>
    <row r="97" spans="1:27">
      <c r="A97" t="s">
        <v>1804</v>
      </c>
      <c r="B97" t="s">
        <v>17</v>
      </c>
      <c r="C97" t="s">
        <v>1898</v>
      </c>
      <c r="D97" t="s">
        <v>427</v>
      </c>
      <c r="E97" t="s">
        <v>428</v>
      </c>
      <c r="F97" t="s">
        <v>429</v>
      </c>
      <c r="G97">
        <v>70</v>
      </c>
      <c r="H97">
        <v>85</v>
      </c>
      <c r="I97">
        <v>6</v>
      </c>
      <c r="J97">
        <v>9993</v>
      </c>
      <c r="K97">
        <v>5</v>
      </c>
      <c r="L97" t="s">
        <v>432</v>
      </c>
      <c r="M97" t="s">
        <v>25</v>
      </c>
      <c r="N97" t="s">
        <v>430</v>
      </c>
      <c r="O97" t="s">
        <v>431</v>
      </c>
      <c r="P97">
        <v>420</v>
      </c>
      <c r="Q97">
        <v>89</v>
      </c>
      <c r="R97">
        <v>61</v>
      </c>
      <c r="S97">
        <v>5</v>
      </c>
      <c r="T97" t="s">
        <v>431</v>
      </c>
      <c r="U97">
        <v>19</v>
      </c>
      <c r="V97">
        <v>24</v>
      </c>
      <c r="W97">
        <v>24</v>
      </c>
      <c r="X97">
        <v>1</v>
      </c>
      <c r="Y97">
        <v>39.344262295081968</v>
      </c>
      <c r="Z97" t="s">
        <v>18</v>
      </c>
      <c r="AA97">
        <v>1</v>
      </c>
    </row>
    <row r="98" spans="1:27">
      <c r="A98" t="s">
        <v>1804</v>
      </c>
      <c r="B98" t="s">
        <v>17</v>
      </c>
      <c r="C98" t="s">
        <v>1899</v>
      </c>
      <c r="D98" t="s">
        <v>584</v>
      </c>
      <c r="E98" t="s">
        <v>585</v>
      </c>
      <c r="F98" t="s">
        <v>586</v>
      </c>
      <c r="G98">
        <v>97</v>
      </c>
      <c r="H98">
        <v>51</v>
      </c>
      <c r="I98">
        <v>13</v>
      </c>
      <c r="J98">
        <v>46610</v>
      </c>
      <c r="K98">
        <v>6</v>
      </c>
      <c r="L98" t="s">
        <v>589</v>
      </c>
      <c r="M98" t="s">
        <v>25</v>
      </c>
      <c r="N98" t="s">
        <v>587</v>
      </c>
      <c r="O98" t="s">
        <v>588</v>
      </c>
      <c r="P98">
        <v>640</v>
      </c>
      <c r="T98" t="s">
        <v>588</v>
      </c>
      <c r="Z98" t="s">
        <v>474</v>
      </c>
      <c r="AA98">
        <v>1</v>
      </c>
    </row>
    <row r="99" spans="1:27">
      <c r="A99" t="s">
        <v>1804</v>
      </c>
      <c r="B99" t="s">
        <v>17</v>
      </c>
      <c r="C99" t="s">
        <v>1900</v>
      </c>
      <c r="D99" t="s">
        <v>346</v>
      </c>
      <c r="E99" t="s">
        <v>347</v>
      </c>
      <c r="F99" t="s">
        <v>348</v>
      </c>
      <c r="G99">
        <v>56</v>
      </c>
      <c r="H99">
        <v>86</v>
      </c>
      <c r="I99">
        <v>25</v>
      </c>
      <c r="J99">
        <v>57894</v>
      </c>
      <c r="K99">
        <v>6</v>
      </c>
      <c r="L99" t="s">
        <v>351</v>
      </c>
      <c r="M99" t="s">
        <v>25</v>
      </c>
      <c r="N99" t="s">
        <v>349</v>
      </c>
      <c r="O99" t="s">
        <v>350</v>
      </c>
      <c r="P99">
        <v>586</v>
      </c>
      <c r="Q99">
        <v>66</v>
      </c>
      <c r="R99">
        <v>77</v>
      </c>
      <c r="S99">
        <v>23</v>
      </c>
      <c r="T99" t="s">
        <v>350</v>
      </c>
      <c r="U99">
        <v>10</v>
      </c>
      <c r="V99">
        <v>9</v>
      </c>
      <c r="W99">
        <v>9</v>
      </c>
      <c r="X99">
        <v>2</v>
      </c>
      <c r="Y99">
        <v>11.688311688311691</v>
      </c>
      <c r="Z99" t="s">
        <v>18</v>
      </c>
      <c r="AA99">
        <v>1</v>
      </c>
    </row>
    <row r="100" spans="1:27">
      <c r="A100" t="s">
        <v>1804</v>
      </c>
      <c r="B100" t="s">
        <v>17</v>
      </c>
      <c r="C100" t="s">
        <v>1901</v>
      </c>
      <c r="D100" t="s">
        <v>486</v>
      </c>
      <c r="E100" t="s">
        <v>117</v>
      </c>
      <c r="F100" t="s">
        <v>487</v>
      </c>
      <c r="G100">
        <v>80</v>
      </c>
      <c r="H100">
        <v>80</v>
      </c>
      <c r="I100">
        <v>13</v>
      </c>
      <c r="J100">
        <v>63841</v>
      </c>
      <c r="K100">
        <v>5</v>
      </c>
      <c r="L100" t="s">
        <v>490</v>
      </c>
      <c r="M100" t="s">
        <v>25</v>
      </c>
      <c r="N100" t="s">
        <v>488</v>
      </c>
      <c r="O100" t="s">
        <v>489</v>
      </c>
      <c r="P100">
        <v>471</v>
      </c>
      <c r="Q100">
        <v>99</v>
      </c>
      <c r="R100">
        <v>76</v>
      </c>
      <c r="S100">
        <v>12</v>
      </c>
      <c r="T100" t="s">
        <v>489</v>
      </c>
      <c r="U100">
        <v>19</v>
      </c>
      <c r="V100">
        <v>4</v>
      </c>
      <c r="W100">
        <v>4</v>
      </c>
      <c r="X100">
        <v>1</v>
      </c>
      <c r="Y100">
        <v>5.2631578947368416</v>
      </c>
      <c r="Z100" t="s">
        <v>18</v>
      </c>
      <c r="AA100">
        <v>1</v>
      </c>
    </row>
    <row r="101" spans="1:27">
      <c r="A101" t="s">
        <v>1804</v>
      </c>
      <c r="C101" t="s">
        <v>1218</v>
      </c>
      <c r="D101" t="s">
        <v>1197</v>
      </c>
      <c r="E101" t="s">
        <v>1198</v>
      </c>
      <c r="N101" t="s">
        <v>1199</v>
      </c>
      <c r="O101" t="s">
        <v>1200</v>
      </c>
      <c r="Q101">
        <v>88</v>
      </c>
      <c r="R101">
        <v>530</v>
      </c>
      <c r="S101">
        <v>164</v>
      </c>
      <c r="T101" t="s">
        <v>1200</v>
      </c>
      <c r="Z101" t="s">
        <v>1189</v>
      </c>
      <c r="AA101">
        <v>1</v>
      </c>
    </row>
    <row r="102" spans="1:27">
      <c r="A102" t="s">
        <v>1804</v>
      </c>
      <c r="B102" t="s">
        <v>17</v>
      </c>
      <c r="C102" t="s">
        <v>1902</v>
      </c>
      <c r="D102" t="s">
        <v>234</v>
      </c>
      <c r="E102" t="s">
        <v>235</v>
      </c>
      <c r="F102" t="s">
        <v>236</v>
      </c>
      <c r="G102">
        <v>37</v>
      </c>
      <c r="H102">
        <v>25341</v>
      </c>
      <c r="I102">
        <v>90</v>
      </c>
      <c r="J102">
        <v>509409</v>
      </c>
      <c r="K102">
        <v>288</v>
      </c>
      <c r="L102" t="s">
        <v>239</v>
      </c>
      <c r="M102" t="s">
        <v>25</v>
      </c>
      <c r="N102" t="s">
        <v>237</v>
      </c>
      <c r="O102" t="s">
        <v>238</v>
      </c>
      <c r="P102">
        <v>653</v>
      </c>
      <c r="Q102">
        <v>36</v>
      </c>
      <c r="R102">
        <v>25320</v>
      </c>
      <c r="S102">
        <v>90</v>
      </c>
      <c r="T102" t="s">
        <v>238</v>
      </c>
      <c r="U102">
        <v>-1</v>
      </c>
      <c r="V102">
        <v>21</v>
      </c>
      <c r="W102">
        <v>21</v>
      </c>
      <c r="X102">
        <v>0</v>
      </c>
      <c r="Y102">
        <v>8.2938388625592413E-2</v>
      </c>
      <c r="Z102" t="s">
        <v>18</v>
      </c>
      <c r="AA102">
        <v>1</v>
      </c>
    </row>
    <row r="103" spans="1:27">
      <c r="A103" t="s">
        <v>1804</v>
      </c>
      <c r="B103" t="s">
        <v>17</v>
      </c>
      <c r="C103" t="s">
        <v>1903</v>
      </c>
      <c r="D103" t="s">
        <v>556</v>
      </c>
      <c r="E103" t="s">
        <v>428</v>
      </c>
      <c r="F103" t="s">
        <v>557</v>
      </c>
      <c r="G103">
        <v>92</v>
      </c>
      <c r="H103">
        <v>12669</v>
      </c>
      <c r="I103">
        <v>193</v>
      </c>
      <c r="J103">
        <v>362358</v>
      </c>
      <c r="K103">
        <v>190</v>
      </c>
      <c r="L103" t="s">
        <v>560</v>
      </c>
      <c r="M103" t="s">
        <v>25</v>
      </c>
      <c r="N103" t="s">
        <v>558</v>
      </c>
      <c r="O103" t="s">
        <v>559</v>
      </c>
      <c r="P103">
        <v>383</v>
      </c>
      <c r="Q103">
        <v>93</v>
      </c>
      <c r="R103">
        <v>12663</v>
      </c>
      <c r="S103">
        <v>192</v>
      </c>
      <c r="T103" t="s">
        <v>559</v>
      </c>
      <c r="U103">
        <v>1</v>
      </c>
      <c r="V103">
        <v>6</v>
      </c>
      <c r="W103">
        <v>6</v>
      </c>
      <c r="X103">
        <v>1</v>
      </c>
      <c r="Y103">
        <v>4.7382136934375742E-2</v>
      </c>
      <c r="Z103" t="s">
        <v>18</v>
      </c>
      <c r="AA103">
        <v>1</v>
      </c>
    </row>
    <row r="104" spans="1:27">
      <c r="A104" t="s">
        <v>1804</v>
      </c>
      <c r="B104" t="s">
        <v>17</v>
      </c>
      <c r="C104" t="s">
        <v>1904</v>
      </c>
      <c r="D104" t="s">
        <v>503</v>
      </c>
      <c r="E104" t="s">
        <v>504</v>
      </c>
      <c r="F104" t="s">
        <v>505</v>
      </c>
      <c r="G104">
        <v>83</v>
      </c>
      <c r="H104">
        <v>2077</v>
      </c>
      <c r="I104">
        <v>310</v>
      </c>
      <c r="J104">
        <v>1443531</v>
      </c>
      <c r="K104">
        <v>196</v>
      </c>
      <c r="L104" t="s">
        <v>508</v>
      </c>
      <c r="M104" t="s">
        <v>25</v>
      </c>
      <c r="N104" t="s">
        <v>506</v>
      </c>
      <c r="O104" t="s">
        <v>507</v>
      </c>
      <c r="P104">
        <v>243</v>
      </c>
      <c r="Q104">
        <v>76</v>
      </c>
      <c r="R104">
        <v>2077</v>
      </c>
      <c r="S104">
        <v>309</v>
      </c>
      <c r="T104" t="s">
        <v>507</v>
      </c>
      <c r="U104">
        <v>-7</v>
      </c>
      <c r="V104">
        <v>0</v>
      </c>
      <c r="W104">
        <v>0</v>
      </c>
      <c r="X104">
        <v>1</v>
      </c>
      <c r="Y104">
        <v>0</v>
      </c>
      <c r="Z104" t="s">
        <v>18</v>
      </c>
      <c r="AA104">
        <v>1</v>
      </c>
    </row>
    <row r="105" spans="1:27">
      <c r="A105" t="s">
        <v>1905</v>
      </c>
      <c r="B105" t="s">
        <v>608</v>
      </c>
      <c r="C105" t="s">
        <v>1906</v>
      </c>
      <c r="D105" t="s">
        <v>868</v>
      </c>
      <c r="E105" t="s">
        <v>869</v>
      </c>
      <c r="F105" t="s">
        <v>870</v>
      </c>
      <c r="G105">
        <v>45</v>
      </c>
      <c r="H105">
        <v>11377</v>
      </c>
      <c r="I105">
        <v>175</v>
      </c>
      <c r="J105">
        <v>405518</v>
      </c>
      <c r="K105">
        <v>1573</v>
      </c>
      <c r="L105" t="s">
        <v>873</v>
      </c>
      <c r="M105" t="s">
        <v>25</v>
      </c>
      <c r="N105" t="s">
        <v>871</v>
      </c>
      <c r="O105" t="s">
        <v>872</v>
      </c>
      <c r="P105">
        <v>223</v>
      </c>
      <c r="Q105">
        <v>38</v>
      </c>
      <c r="R105">
        <v>11362</v>
      </c>
      <c r="S105">
        <v>175</v>
      </c>
      <c r="T105" t="s">
        <v>872</v>
      </c>
      <c r="U105">
        <v>-7</v>
      </c>
      <c r="V105">
        <v>15</v>
      </c>
      <c r="W105">
        <v>15</v>
      </c>
      <c r="X105">
        <v>0</v>
      </c>
      <c r="Y105">
        <v>0.13201901073754621</v>
      </c>
      <c r="Z105" t="s">
        <v>18</v>
      </c>
      <c r="AA105">
        <v>1</v>
      </c>
    </row>
    <row r="106" spans="1:27">
      <c r="A106" t="s">
        <v>1905</v>
      </c>
      <c r="B106" t="s">
        <v>608</v>
      </c>
      <c r="C106" t="s">
        <v>1907</v>
      </c>
      <c r="D106" t="s">
        <v>685</v>
      </c>
      <c r="E106" t="s">
        <v>686</v>
      </c>
      <c r="F106" t="s">
        <v>687</v>
      </c>
      <c r="G106">
        <v>14</v>
      </c>
      <c r="H106">
        <v>1324</v>
      </c>
      <c r="I106">
        <v>559</v>
      </c>
      <c r="J106">
        <v>1768049</v>
      </c>
      <c r="K106">
        <v>1007</v>
      </c>
      <c r="L106" t="s">
        <v>690</v>
      </c>
      <c r="M106" t="s">
        <v>25</v>
      </c>
      <c r="N106" t="s">
        <v>688</v>
      </c>
      <c r="O106" t="s">
        <v>689</v>
      </c>
      <c r="P106">
        <v>1108</v>
      </c>
      <c r="Q106">
        <v>17</v>
      </c>
      <c r="R106">
        <v>1298</v>
      </c>
      <c r="S106">
        <v>558</v>
      </c>
      <c r="T106" t="s">
        <v>689</v>
      </c>
      <c r="U106">
        <v>3</v>
      </c>
      <c r="V106">
        <v>26</v>
      </c>
      <c r="W106">
        <v>26</v>
      </c>
      <c r="X106">
        <v>1</v>
      </c>
      <c r="Y106">
        <v>2.0030816640986129</v>
      </c>
      <c r="Z106" t="s">
        <v>18</v>
      </c>
      <c r="AA106">
        <v>1</v>
      </c>
    </row>
    <row r="107" spans="1:27">
      <c r="A107" t="s">
        <v>1905</v>
      </c>
      <c r="B107" t="s">
        <v>608</v>
      </c>
      <c r="C107" t="s">
        <v>1908</v>
      </c>
      <c r="D107" t="s">
        <v>971</v>
      </c>
      <c r="E107" t="s">
        <v>972</v>
      </c>
      <c r="F107" t="s">
        <v>973</v>
      </c>
      <c r="G107">
        <v>63</v>
      </c>
      <c r="H107">
        <v>7737</v>
      </c>
      <c r="I107">
        <v>490</v>
      </c>
      <c r="J107">
        <v>2114365</v>
      </c>
      <c r="K107">
        <v>980</v>
      </c>
      <c r="L107" t="s">
        <v>976</v>
      </c>
      <c r="M107" t="s">
        <v>25</v>
      </c>
      <c r="N107" t="s">
        <v>974</v>
      </c>
      <c r="O107" t="s">
        <v>975</v>
      </c>
      <c r="P107">
        <v>442</v>
      </c>
      <c r="Q107">
        <v>52</v>
      </c>
      <c r="R107">
        <v>7720</v>
      </c>
      <c r="S107">
        <v>490</v>
      </c>
      <c r="T107" t="s">
        <v>975</v>
      </c>
      <c r="U107">
        <v>-11</v>
      </c>
      <c r="V107">
        <v>17</v>
      </c>
      <c r="W107">
        <v>17</v>
      </c>
      <c r="X107">
        <v>0</v>
      </c>
      <c r="Y107">
        <v>0.22020725388601031</v>
      </c>
      <c r="Z107" t="s">
        <v>18</v>
      </c>
      <c r="AA107">
        <v>1</v>
      </c>
    </row>
    <row r="108" spans="1:27">
      <c r="A108" t="s">
        <v>1905</v>
      </c>
      <c r="B108" t="s">
        <v>608</v>
      </c>
      <c r="C108" t="s">
        <v>1909</v>
      </c>
      <c r="D108" t="s">
        <v>1080</v>
      </c>
      <c r="E108" t="s">
        <v>1081</v>
      </c>
      <c r="F108" t="s">
        <v>1082</v>
      </c>
      <c r="G108">
        <v>82</v>
      </c>
      <c r="H108">
        <v>21592</v>
      </c>
      <c r="I108">
        <v>304</v>
      </c>
      <c r="J108">
        <v>923901</v>
      </c>
      <c r="K108">
        <v>883</v>
      </c>
      <c r="L108" t="s">
        <v>1085</v>
      </c>
      <c r="M108" t="s">
        <v>44</v>
      </c>
      <c r="N108" t="s">
        <v>1083</v>
      </c>
      <c r="O108" t="s">
        <v>1084</v>
      </c>
      <c r="P108">
        <v>591</v>
      </c>
      <c r="Q108">
        <v>75</v>
      </c>
      <c r="R108">
        <v>21579</v>
      </c>
      <c r="S108">
        <v>304</v>
      </c>
      <c r="T108" t="s">
        <v>1084</v>
      </c>
      <c r="U108">
        <v>-7</v>
      </c>
      <c r="V108">
        <v>13</v>
      </c>
      <c r="W108">
        <v>13</v>
      </c>
      <c r="X108">
        <v>0</v>
      </c>
      <c r="Y108">
        <v>6.0243755503035352E-2</v>
      </c>
      <c r="Z108" t="s">
        <v>18</v>
      </c>
      <c r="AA108">
        <v>1</v>
      </c>
    </row>
    <row r="109" spans="1:27">
      <c r="A109" t="s">
        <v>1905</v>
      </c>
      <c r="B109" t="s">
        <v>608</v>
      </c>
      <c r="C109" t="s">
        <v>1910</v>
      </c>
      <c r="D109" t="s">
        <v>1018</v>
      </c>
      <c r="E109" t="s">
        <v>1019</v>
      </c>
      <c r="F109" t="s">
        <v>1020</v>
      </c>
      <c r="G109">
        <v>71</v>
      </c>
      <c r="H109">
        <v>12748</v>
      </c>
      <c r="I109">
        <v>135</v>
      </c>
      <c r="J109">
        <v>478061</v>
      </c>
      <c r="K109">
        <v>495</v>
      </c>
      <c r="L109" t="s">
        <v>1023</v>
      </c>
      <c r="M109" t="s">
        <v>25</v>
      </c>
      <c r="N109" t="s">
        <v>1021</v>
      </c>
      <c r="O109" t="s">
        <v>1022</v>
      </c>
      <c r="P109">
        <v>262</v>
      </c>
      <c r="Q109">
        <v>66</v>
      </c>
      <c r="R109">
        <v>12742</v>
      </c>
      <c r="S109">
        <v>135</v>
      </c>
      <c r="T109" t="s">
        <v>1022</v>
      </c>
      <c r="U109">
        <v>-5</v>
      </c>
      <c r="V109">
        <v>6</v>
      </c>
      <c r="W109">
        <v>6</v>
      </c>
      <c r="X109">
        <v>0</v>
      </c>
      <c r="Y109">
        <v>4.7088369172814323E-2</v>
      </c>
      <c r="Z109" t="s">
        <v>18</v>
      </c>
      <c r="AA109">
        <v>1</v>
      </c>
    </row>
    <row r="110" spans="1:27">
      <c r="A110" t="s">
        <v>1905</v>
      </c>
      <c r="B110" t="s">
        <v>608</v>
      </c>
      <c r="C110" t="s">
        <v>1911</v>
      </c>
      <c r="D110" t="s">
        <v>832</v>
      </c>
      <c r="E110" t="s">
        <v>833</v>
      </c>
      <c r="F110" t="s">
        <v>834</v>
      </c>
      <c r="G110">
        <v>39</v>
      </c>
      <c r="H110">
        <v>663</v>
      </c>
      <c r="I110">
        <v>37</v>
      </c>
      <c r="J110">
        <v>142646</v>
      </c>
      <c r="K110">
        <v>32</v>
      </c>
      <c r="L110" t="s">
        <v>837</v>
      </c>
      <c r="M110" t="s">
        <v>25</v>
      </c>
      <c r="N110" t="s">
        <v>835</v>
      </c>
      <c r="O110" t="s">
        <v>836</v>
      </c>
      <c r="P110">
        <v>296</v>
      </c>
      <c r="Q110">
        <v>40</v>
      </c>
      <c r="R110">
        <v>632</v>
      </c>
      <c r="S110">
        <v>36</v>
      </c>
      <c r="T110" t="s">
        <v>836</v>
      </c>
      <c r="U110">
        <v>1</v>
      </c>
      <c r="V110">
        <v>31</v>
      </c>
      <c r="W110">
        <v>31</v>
      </c>
      <c r="X110">
        <v>1</v>
      </c>
      <c r="Y110">
        <v>4.90506329113924</v>
      </c>
      <c r="Z110" t="s">
        <v>18</v>
      </c>
      <c r="AA110">
        <v>1</v>
      </c>
    </row>
    <row r="111" spans="1:27">
      <c r="A111" t="s">
        <v>1905</v>
      </c>
      <c r="B111" t="s">
        <v>608</v>
      </c>
      <c r="C111" t="s">
        <v>1912</v>
      </c>
      <c r="D111" t="s">
        <v>815</v>
      </c>
      <c r="E111" t="s">
        <v>816</v>
      </c>
      <c r="F111" t="s">
        <v>817</v>
      </c>
      <c r="G111">
        <v>36</v>
      </c>
      <c r="H111">
        <v>11187</v>
      </c>
      <c r="I111">
        <v>529</v>
      </c>
      <c r="J111">
        <v>1307533</v>
      </c>
      <c r="K111">
        <v>479</v>
      </c>
      <c r="L111" t="s">
        <v>820</v>
      </c>
      <c r="M111" t="s">
        <v>25</v>
      </c>
      <c r="N111" t="s">
        <v>818</v>
      </c>
      <c r="O111" t="s">
        <v>819</v>
      </c>
      <c r="P111">
        <v>541</v>
      </c>
      <c r="Q111">
        <v>36</v>
      </c>
      <c r="R111">
        <v>11181</v>
      </c>
      <c r="S111">
        <v>529</v>
      </c>
      <c r="T111" t="s">
        <v>819</v>
      </c>
      <c r="U111">
        <v>0</v>
      </c>
      <c r="V111">
        <v>6</v>
      </c>
      <c r="W111">
        <v>6</v>
      </c>
      <c r="X111">
        <v>0</v>
      </c>
      <c r="Y111">
        <v>5.3662463107056607E-2</v>
      </c>
      <c r="Z111" t="s">
        <v>18</v>
      </c>
      <c r="AA111">
        <v>1</v>
      </c>
    </row>
    <row r="112" spans="1:27">
      <c r="A112" t="s">
        <v>1905</v>
      </c>
      <c r="B112" t="s">
        <v>608</v>
      </c>
      <c r="C112" t="s">
        <v>1913</v>
      </c>
      <c r="D112" t="s">
        <v>821</v>
      </c>
      <c r="E112" t="s">
        <v>822</v>
      </c>
      <c r="F112" t="s">
        <v>823</v>
      </c>
      <c r="G112">
        <v>37</v>
      </c>
      <c r="H112">
        <v>8275</v>
      </c>
      <c r="I112">
        <v>93</v>
      </c>
      <c r="J112">
        <v>348404</v>
      </c>
      <c r="K112">
        <v>580</v>
      </c>
      <c r="L112" t="s">
        <v>826</v>
      </c>
      <c r="M112" t="s">
        <v>25</v>
      </c>
      <c r="N112" t="s">
        <v>824</v>
      </c>
      <c r="O112" t="s">
        <v>825</v>
      </c>
      <c r="P112">
        <v>176</v>
      </c>
      <c r="Q112">
        <v>31</v>
      </c>
      <c r="R112">
        <v>8254</v>
      </c>
      <c r="S112">
        <v>93</v>
      </c>
      <c r="T112" t="s">
        <v>825</v>
      </c>
      <c r="U112">
        <v>-6</v>
      </c>
      <c r="V112">
        <v>21</v>
      </c>
      <c r="W112">
        <v>21</v>
      </c>
      <c r="X112">
        <v>0</v>
      </c>
      <c r="Y112">
        <v>0.25442209837654473</v>
      </c>
      <c r="Z112" t="s">
        <v>18</v>
      </c>
      <c r="AA112">
        <v>1</v>
      </c>
    </row>
    <row r="113" spans="1:27">
      <c r="A113" t="s">
        <v>1905</v>
      </c>
      <c r="B113" t="s">
        <v>608</v>
      </c>
      <c r="C113" t="s">
        <v>1914</v>
      </c>
      <c r="D113" t="s">
        <v>1172</v>
      </c>
      <c r="E113" t="s">
        <v>1173</v>
      </c>
      <c r="F113" t="s">
        <v>1174</v>
      </c>
      <c r="G113">
        <v>98</v>
      </c>
      <c r="H113">
        <v>5427</v>
      </c>
      <c r="I113">
        <v>260</v>
      </c>
      <c r="J113">
        <v>981314</v>
      </c>
      <c r="K113">
        <v>416</v>
      </c>
      <c r="L113" t="s">
        <v>1176</v>
      </c>
      <c r="M113" t="s">
        <v>25</v>
      </c>
      <c r="O113" t="s">
        <v>1175</v>
      </c>
      <c r="P113">
        <v>324</v>
      </c>
      <c r="T113" t="s">
        <v>1175</v>
      </c>
      <c r="Z113" t="s">
        <v>474</v>
      </c>
      <c r="AA113">
        <v>1</v>
      </c>
    </row>
    <row r="114" spans="1:27">
      <c r="A114" t="s">
        <v>1905</v>
      </c>
      <c r="B114" t="s">
        <v>608</v>
      </c>
      <c r="C114" t="s">
        <v>1915</v>
      </c>
      <c r="D114" t="s">
        <v>1131</v>
      </c>
      <c r="E114" t="s">
        <v>1081</v>
      </c>
      <c r="F114" t="s">
        <v>1132</v>
      </c>
      <c r="G114">
        <v>91</v>
      </c>
      <c r="H114">
        <v>18830</v>
      </c>
      <c r="I114">
        <v>176</v>
      </c>
      <c r="J114">
        <v>583052</v>
      </c>
      <c r="K114">
        <v>175</v>
      </c>
      <c r="L114" t="s">
        <v>1135</v>
      </c>
      <c r="M114" t="s">
        <v>25</v>
      </c>
      <c r="N114" t="s">
        <v>1133</v>
      </c>
      <c r="O114" t="s">
        <v>1134</v>
      </c>
      <c r="P114">
        <v>328</v>
      </c>
      <c r="Q114">
        <v>84</v>
      </c>
      <c r="R114">
        <v>18818</v>
      </c>
      <c r="S114">
        <v>175</v>
      </c>
      <c r="T114" t="s">
        <v>1134</v>
      </c>
      <c r="U114">
        <v>-7</v>
      </c>
      <c r="V114">
        <v>12</v>
      </c>
      <c r="W114">
        <v>12</v>
      </c>
      <c r="X114">
        <v>1</v>
      </c>
      <c r="Y114">
        <v>6.3768732065044104E-2</v>
      </c>
      <c r="Z114" t="s">
        <v>18</v>
      </c>
      <c r="AA114">
        <v>1</v>
      </c>
    </row>
    <row r="115" spans="1:27">
      <c r="A115" t="s">
        <v>1905</v>
      </c>
      <c r="B115" t="s">
        <v>608</v>
      </c>
      <c r="C115" t="s">
        <v>1916</v>
      </c>
      <c r="D115" t="s">
        <v>1062</v>
      </c>
      <c r="E115" t="s">
        <v>1063</v>
      </c>
      <c r="F115" t="s">
        <v>1064</v>
      </c>
      <c r="G115">
        <v>79</v>
      </c>
      <c r="H115">
        <v>383</v>
      </c>
      <c r="I115">
        <v>26</v>
      </c>
      <c r="J115">
        <v>60334</v>
      </c>
      <c r="K115">
        <v>20</v>
      </c>
      <c r="L115" t="s">
        <v>1067</v>
      </c>
      <c r="M115" t="s">
        <v>25</v>
      </c>
      <c r="N115" t="s">
        <v>1065</v>
      </c>
      <c r="O115" t="s">
        <v>1066</v>
      </c>
      <c r="P115">
        <v>307</v>
      </c>
      <c r="Q115">
        <v>77</v>
      </c>
      <c r="R115">
        <v>364</v>
      </c>
      <c r="S115">
        <v>25</v>
      </c>
      <c r="T115" t="s">
        <v>1066</v>
      </c>
      <c r="U115">
        <v>-2</v>
      </c>
      <c r="V115">
        <v>19</v>
      </c>
      <c r="W115">
        <v>19</v>
      </c>
      <c r="X115">
        <v>1</v>
      </c>
      <c r="Y115">
        <v>5.2197802197802199</v>
      </c>
      <c r="Z115" t="s">
        <v>18</v>
      </c>
      <c r="AA115">
        <v>1</v>
      </c>
    </row>
    <row r="116" spans="1:27">
      <c r="A116" t="s">
        <v>1905</v>
      </c>
      <c r="B116" t="s">
        <v>608</v>
      </c>
      <c r="C116" t="s">
        <v>1917</v>
      </c>
      <c r="D116" t="s">
        <v>1013</v>
      </c>
      <c r="E116" t="s">
        <v>650</v>
      </c>
      <c r="F116" t="s">
        <v>1014</v>
      </c>
      <c r="G116">
        <v>70</v>
      </c>
      <c r="H116">
        <v>1252</v>
      </c>
      <c r="I116">
        <v>25</v>
      </c>
      <c r="J116">
        <v>161952</v>
      </c>
      <c r="K116">
        <v>27</v>
      </c>
      <c r="L116" t="s">
        <v>1017</v>
      </c>
      <c r="M116" t="s">
        <v>44</v>
      </c>
      <c r="N116" t="s">
        <v>1015</v>
      </c>
      <c r="O116" t="s">
        <v>1016</v>
      </c>
      <c r="P116">
        <v>322</v>
      </c>
      <c r="Q116">
        <v>60</v>
      </c>
      <c r="R116">
        <v>1228</v>
      </c>
      <c r="S116">
        <v>25</v>
      </c>
      <c r="T116" t="s">
        <v>1016</v>
      </c>
      <c r="U116">
        <v>-10</v>
      </c>
      <c r="V116">
        <v>24</v>
      </c>
      <c r="W116">
        <v>24</v>
      </c>
      <c r="X116">
        <v>0</v>
      </c>
      <c r="Y116">
        <v>1.954397394136808</v>
      </c>
      <c r="Z116" t="s">
        <v>18</v>
      </c>
      <c r="AA116">
        <v>1</v>
      </c>
    </row>
    <row r="117" spans="1:27">
      <c r="A117" t="s">
        <v>1905</v>
      </c>
      <c r="B117" t="s">
        <v>608</v>
      </c>
      <c r="C117" t="s">
        <v>1918</v>
      </c>
      <c r="D117" t="s">
        <v>721</v>
      </c>
      <c r="E117" t="s">
        <v>722</v>
      </c>
      <c r="F117" t="s">
        <v>723</v>
      </c>
      <c r="G117">
        <v>20</v>
      </c>
      <c r="H117">
        <v>10879</v>
      </c>
      <c r="I117">
        <v>48</v>
      </c>
      <c r="J117">
        <v>136595</v>
      </c>
      <c r="K117">
        <v>48</v>
      </c>
      <c r="L117" t="s">
        <v>726</v>
      </c>
      <c r="M117" t="s">
        <v>25</v>
      </c>
      <c r="N117" t="s">
        <v>724</v>
      </c>
      <c r="O117" t="s">
        <v>725</v>
      </c>
      <c r="P117">
        <v>276</v>
      </c>
      <c r="Q117">
        <v>15</v>
      </c>
      <c r="R117">
        <v>10820</v>
      </c>
      <c r="S117">
        <v>47</v>
      </c>
      <c r="T117" t="s">
        <v>725</v>
      </c>
      <c r="U117">
        <v>-5</v>
      </c>
      <c r="V117">
        <v>59</v>
      </c>
      <c r="W117">
        <v>59</v>
      </c>
      <c r="X117">
        <v>1</v>
      </c>
      <c r="Y117">
        <v>0.54528650646950094</v>
      </c>
      <c r="Z117" t="s">
        <v>18</v>
      </c>
      <c r="AA117">
        <v>1</v>
      </c>
    </row>
    <row r="118" spans="1:27">
      <c r="A118" t="s">
        <v>1905</v>
      </c>
      <c r="B118" t="s">
        <v>608</v>
      </c>
      <c r="C118" t="s">
        <v>1919</v>
      </c>
      <c r="D118" t="s">
        <v>1097</v>
      </c>
      <c r="E118" t="s">
        <v>1098</v>
      </c>
      <c r="F118" t="s">
        <v>1099</v>
      </c>
      <c r="G118">
        <v>85</v>
      </c>
      <c r="H118">
        <v>806</v>
      </c>
      <c r="I118">
        <v>126</v>
      </c>
      <c r="J118">
        <v>374517</v>
      </c>
      <c r="K118">
        <v>125</v>
      </c>
      <c r="L118" t="s">
        <v>1102</v>
      </c>
      <c r="M118" t="s">
        <v>25</v>
      </c>
      <c r="N118" t="s">
        <v>1100</v>
      </c>
      <c r="O118" t="s">
        <v>1101</v>
      </c>
      <c r="P118">
        <v>259</v>
      </c>
      <c r="T118" t="s">
        <v>1101</v>
      </c>
      <c r="Z118" t="s">
        <v>474</v>
      </c>
      <c r="AA118">
        <v>1</v>
      </c>
    </row>
    <row r="119" spans="1:27">
      <c r="A119" t="s">
        <v>1905</v>
      </c>
      <c r="B119" t="s">
        <v>608</v>
      </c>
      <c r="C119" t="s">
        <v>1920</v>
      </c>
      <c r="D119" t="s">
        <v>1103</v>
      </c>
      <c r="E119" t="s">
        <v>1019</v>
      </c>
      <c r="F119" t="s">
        <v>1104</v>
      </c>
      <c r="G119">
        <v>86</v>
      </c>
      <c r="H119">
        <v>2559</v>
      </c>
      <c r="I119">
        <v>96</v>
      </c>
      <c r="J119">
        <v>239378</v>
      </c>
      <c r="K119">
        <v>111</v>
      </c>
      <c r="L119" t="s">
        <v>1107</v>
      </c>
      <c r="M119" t="s">
        <v>25</v>
      </c>
      <c r="N119" t="s">
        <v>1105</v>
      </c>
      <c r="O119" t="s">
        <v>1106</v>
      </c>
      <c r="P119">
        <v>314</v>
      </c>
      <c r="Q119">
        <v>90</v>
      </c>
      <c r="R119">
        <v>2531</v>
      </c>
      <c r="S119">
        <v>95</v>
      </c>
      <c r="T119" t="s">
        <v>1106</v>
      </c>
      <c r="U119">
        <v>4</v>
      </c>
      <c r="V119">
        <v>28</v>
      </c>
      <c r="W119">
        <v>28</v>
      </c>
      <c r="X119">
        <v>1</v>
      </c>
      <c r="Y119">
        <v>1.1062821019359941</v>
      </c>
      <c r="Z119" t="s">
        <v>18</v>
      </c>
      <c r="AA119">
        <v>1</v>
      </c>
    </row>
    <row r="120" spans="1:27">
      <c r="A120" t="s">
        <v>1905</v>
      </c>
      <c r="B120" t="s">
        <v>608</v>
      </c>
      <c r="C120" t="s">
        <v>1921</v>
      </c>
      <c r="D120" t="s">
        <v>621</v>
      </c>
      <c r="E120" t="s">
        <v>622</v>
      </c>
      <c r="F120" t="s">
        <v>623</v>
      </c>
      <c r="G120">
        <v>3</v>
      </c>
      <c r="H120">
        <v>7563</v>
      </c>
      <c r="I120">
        <v>40</v>
      </c>
      <c r="J120">
        <v>168523</v>
      </c>
      <c r="K120">
        <v>27</v>
      </c>
      <c r="L120" t="s">
        <v>626</v>
      </c>
      <c r="M120" t="s">
        <v>25</v>
      </c>
      <c r="N120" t="s">
        <v>624</v>
      </c>
      <c r="O120" t="s">
        <v>625</v>
      </c>
      <c r="P120">
        <v>432</v>
      </c>
      <c r="Q120">
        <v>1</v>
      </c>
      <c r="R120">
        <v>7402</v>
      </c>
      <c r="S120">
        <v>38</v>
      </c>
      <c r="T120" t="s">
        <v>625</v>
      </c>
      <c r="U120">
        <v>-2</v>
      </c>
      <c r="V120">
        <v>161</v>
      </c>
      <c r="W120">
        <v>161</v>
      </c>
      <c r="X120">
        <v>2</v>
      </c>
      <c r="Y120">
        <v>2.175087814104296</v>
      </c>
      <c r="Z120" t="s">
        <v>18</v>
      </c>
      <c r="AA120">
        <v>1</v>
      </c>
    </row>
    <row r="121" spans="1:27">
      <c r="A121" t="s">
        <v>1905</v>
      </c>
      <c r="B121" t="s">
        <v>608</v>
      </c>
      <c r="C121" t="s">
        <v>1922</v>
      </c>
      <c r="D121" t="s">
        <v>1120</v>
      </c>
      <c r="E121" t="s">
        <v>628</v>
      </c>
      <c r="F121" t="s">
        <v>1121</v>
      </c>
      <c r="G121">
        <v>89</v>
      </c>
      <c r="H121">
        <v>2481</v>
      </c>
      <c r="I121">
        <v>147</v>
      </c>
      <c r="J121">
        <v>300568</v>
      </c>
      <c r="K121">
        <v>116</v>
      </c>
      <c r="L121" t="s">
        <v>1124</v>
      </c>
      <c r="M121" t="s">
        <v>25</v>
      </c>
      <c r="N121" t="s">
        <v>1122</v>
      </c>
      <c r="O121" t="s">
        <v>1123</v>
      </c>
      <c r="P121">
        <v>189</v>
      </c>
      <c r="Q121">
        <v>86</v>
      </c>
      <c r="R121">
        <v>2472</v>
      </c>
      <c r="S121">
        <v>146</v>
      </c>
      <c r="T121" t="s">
        <v>1123</v>
      </c>
      <c r="U121">
        <v>-3</v>
      </c>
      <c r="V121">
        <v>9</v>
      </c>
      <c r="W121">
        <v>9</v>
      </c>
      <c r="X121">
        <v>1</v>
      </c>
      <c r="Y121">
        <v>0.36407766990291263</v>
      </c>
      <c r="Z121" t="s">
        <v>18</v>
      </c>
      <c r="AA121">
        <v>1</v>
      </c>
    </row>
    <row r="122" spans="1:27">
      <c r="A122" t="s">
        <v>1905</v>
      </c>
      <c r="B122" t="s">
        <v>608</v>
      </c>
      <c r="C122" t="s">
        <v>1923</v>
      </c>
      <c r="D122" t="s">
        <v>1125</v>
      </c>
      <c r="E122" t="s">
        <v>1126</v>
      </c>
      <c r="F122" t="s">
        <v>1127</v>
      </c>
      <c r="G122">
        <v>90</v>
      </c>
      <c r="H122">
        <v>1553</v>
      </c>
      <c r="I122">
        <v>62</v>
      </c>
      <c r="J122">
        <v>227922</v>
      </c>
      <c r="K122">
        <v>82</v>
      </c>
      <c r="L122" t="s">
        <v>1130</v>
      </c>
      <c r="M122" t="s">
        <v>25</v>
      </c>
      <c r="N122" t="s">
        <v>1128</v>
      </c>
      <c r="O122" t="s">
        <v>1129</v>
      </c>
      <c r="P122">
        <v>446</v>
      </c>
      <c r="Q122">
        <v>93</v>
      </c>
      <c r="R122">
        <v>1534</v>
      </c>
      <c r="S122">
        <v>62</v>
      </c>
      <c r="T122" t="s">
        <v>1129</v>
      </c>
      <c r="U122">
        <v>3</v>
      </c>
      <c r="V122">
        <v>19</v>
      </c>
      <c r="W122">
        <v>19</v>
      </c>
      <c r="X122">
        <v>0</v>
      </c>
      <c r="Y122">
        <v>1.2385919165580179</v>
      </c>
      <c r="Z122" t="s">
        <v>18</v>
      </c>
      <c r="AA122">
        <v>1</v>
      </c>
    </row>
    <row r="123" spans="1:27">
      <c r="A123" t="s">
        <v>1905</v>
      </c>
      <c r="B123" t="s">
        <v>608</v>
      </c>
      <c r="C123" t="s">
        <v>1924</v>
      </c>
      <c r="D123" t="s">
        <v>862</v>
      </c>
      <c r="E123" t="s">
        <v>863</v>
      </c>
      <c r="F123" t="s">
        <v>864</v>
      </c>
      <c r="G123">
        <v>44</v>
      </c>
      <c r="H123">
        <v>2169</v>
      </c>
      <c r="I123">
        <v>94</v>
      </c>
      <c r="J123">
        <v>289391</v>
      </c>
      <c r="K123">
        <v>86</v>
      </c>
      <c r="L123" t="s">
        <v>867</v>
      </c>
      <c r="M123" t="s">
        <v>25</v>
      </c>
      <c r="N123" t="s">
        <v>865</v>
      </c>
      <c r="O123" t="s">
        <v>866</v>
      </c>
      <c r="P123">
        <v>161</v>
      </c>
      <c r="Q123">
        <v>44</v>
      </c>
      <c r="R123">
        <v>2148</v>
      </c>
      <c r="S123">
        <v>93</v>
      </c>
      <c r="T123" t="s">
        <v>866</v>
      </c>
      <c r="U123">
        <v>0</v>
      </c>
      <c r="V123">
        <v>21</v>
      </c>
      <c r="W123">
        <v>21</v>
      </c>
      <c r="X123">
        <v>1</v>
      </c>
      <c r="Y123">
        <v>0.97765363128491622</v>
      </c>
      <c r="Z123" t="s">
        <v>18</v>
      </c>
      <c r="AA123">
        <v>1</v>
      </c>
    </row>
    <row r="124" spans="1:27">
      <c r="A124" t="s">
        <v>1905</v>
      </c>
      <c r="B124" t="s">
        <v>608</v>
      </c>
      <c r="C124" t="s">
        <v>1925</v>
      </c>
      <c r="D124" t="s">
        <v>738</v>
      </c>
      <c r="E124" t="s">
        <v>739</v>
      </c>
      <c r="F124" t="s">
        <v>740</v>
      </c>
      <c r="G124">
        <v>23</v>
      </c>
      <c r="H124">
        <v>1538</v>
      </c>
      <c r="I124">
        <v>40</v>
      </c>
      <c r="J124">
        <v>100707</v>
      </c>
      <c r="K124">
        <v>27</v>
      </c>
      <c r="L124" t="s">
        <v>743</v>
      </c>
      <c r="M124" t="s">
        <v>25</v>
      </c>
      <c r="N124" t="s">
        <v>741</v>
      </c>
      <c r="O124" t="s">
        <v>742</v>
      </c>
      <c r="P124">
        <v>514</v>
      </c>
      <c r="Q124">
        <v>23</v>
      </c>
      <c r="R124">
        <v>1488</v>
      </c>
      <c r="S124">
        <v>39</v>
      </c>
      <c r="T124" t="s">
        <v>742</v>
      </c>
      <c r="U124">
        <v>0</v>
      </c>
      <c r="V124">
        <v>50</v>
      </c>
      <c r="W124">
        <v>50</v>
      </c>
      <c r="X124">
        <v>1</v>
      </c>
      <c r="Y124">
        <v>3.360215053763441</v>
      </c>
      <c r="Z124" t="s">
        <v>18</v>
      </c>
      <c r="AA124">
        <v>1</v>
      </c>
    </row>
    <row r="125" spans="1:27">
      <c r="A125" t="s">
        <v>1905</v>
      </c>
      <c r="B125" t="s">
        <v>608</v>
      </c>
      <c r="C125" t="s">
        <v>1926</v>
      </c>
      <c r="D125" t="s">
        <v>1108</v>
      </c>
      <c r="E125" t="s">
        <v>1109</v>
      </c>
      <c r="F125" t="s">
        <v>1110</v>
      </c>
      <c r="G125">
        <v>87</v>
      </c>
      <c r="H125">
        <v>2511</v>
      </c>
      <c r="I125">
        <v>81</v>
      </c>
      <c r="J125">
        <v>209322</v>
      </c>
      <c r="K125">
        <v>83</v>
      </c>
      <c r="L125" t="s">
        <v>1113</v>
      </c>
      <c r="M125" t="s">
        <v>25</v>
      </c>
      <c r="N125" t="s">
        <v>1111</v>
      </c>
      <c r="O125" t="s">
        <v>1112</v>
      </c>
      <c r="P125">
        <v>624</v>
      </c>
      <c r="Q125">
        <v>87</v>
      </c>
      <c r="R125">
        <v>2502</v>
      </c>
      <c r="S125">
        <v>80</v>
      </c>
      <c r="T125" t="s">
        <v>1112</v>
      </c>
      <c r="U125">
        <v>0</v>
      </c>
      <c r="V125">
        <v>9</v>
      </c>
      <c r="W125">
        <v>9</v>
      </c>
      <c r="X125">
        <v>1</v>
      </c>
      <c r="Y125">
        <v>0.35971223021582738</v>
      </c>
      <c r="Z125" t="s">
        <v>18</v>
      </c>
      <c r="AA125">
        <v>1</v>
      </c>
    </row>
    <row r="126" spans="1:27">
      <c r="A126" t="s">
        <v>1905</v>
      </c>
      <c r="B126" t="s">
        <v>608</v>
      </c>
      <c r="C126" t="s">
        <v>1927</v>
      </c>
      <c r="D126" t="s">
        <v>1154</v>
      </c>
      <c r="E126" t="s">
        <v>1155</v>
      </c>
      <c r="F126" t="s">
        <v>1156</v>
      </c>
      <c r="G126">
        <v>95</v>
      </c>
      <c r="H126">
        <v>894</v>
      </c>
      <c r="I126">
        <v>26</v>
      </c>
      <c r="J126">
        <v>46872</v>
      </c>
      <c r="K126">
        <v>24</v>
      </c>
      <c r="L126" t="s">
        <v>1159</v>
      </c>
      <c r="M126" t="s">
        <v>25</v>
      </c>
      <c r="N126" t="s">
        <v>1157</v>
      </c>
      <c r="O126" t="s">
        <v>1158</v>
      </c>
      <c r="P126">
        <v>326</v>
      </c>
      <c r="Q126">
        <v>96</v>
      </c>
      <c r="R126">
        <v>865</v>
      </c>
      <c r="S126">
        <v>26</v>
      </c>
      <c r="T126" t="s">
        <v>1158</v>
      </c>
      <c r="U126">
        <v>1</v>
      </c>
      <c r="V126">
        <v>29</v>
      </c>
      <c r="W126">
        <v>29</v>
      </c>
      <c r="X126">
        <v>0</v>
      </c>
      <c r="Y126">
        <v>3.352601156069364</v>
      </c>
      <c r="Z126" t="s">
        <v>18</v>
      </c>
      <c r="AA126">
        <v>1</v>
      </c>
    </row>
    <row r="127" spans="1:27">
      <c r="A127" t="s">
        <v>1905</v>
      </c>
      <c r="B127" t="s">
        <v>608</v>
      </c>
      <c r="C127" t="s">
        <v>1928</v>
      </c>
      <c r="D127" t="s">
        <v>1160</v>
      </c>
      <c r="E127" t="s">
        <v>1161</v>
      </c>
      <c r="F127" t="s">
        <v>1162</v>
      </c>
      <c r="G127">
        <v>96</v>
      </c>
      <c r="H127">
        <v>3234</v>
      </c>
      <c r="I127">
        <v>64</v>
      </c>
      <c r="J127">
        <v>195101</v>
      </c>
      <c r="K127">
        <v>55</v>
      </c>
      <c r="L127" t="s">
        <v>1165</v>
      </c>
      <c r="M127" t="s">
        <v>25</v>
      </c>
      <c r="N127" t="s">
        <v>1163</v>
      </c>
      <c r="O127" t="s">
        <v>1164</v>
      </c>
      <c r="P127">
        <v>411</v>
      </c>
      <c r="Q127">
        <v>80</v>
      </c>
      <c r="R127">
        <v>3216</v>
      </c>
      <c r="S127">
        <v>63</v>
      </c>
      <c r="T127" t="s">
        <v>1164</v>
      </c>
      <c r="U127">
        <v>-16</v>
      </c>
      <c r="V127">
        <v>18</v>
      </c>
      <c r="W127">
        <v>18</v>
      </c>
      <c r="X127">
        <v>1</v>
      </c>
      <c r="Y127">
        <v>0.55970149253731338</v>
      </c>
      <c r="Z127" t="s">
        <v>18</v>
      </c>
      <c r="AA127">
        <v>1</v>
      </c>
    </row>
    <row r="128" spans="1:27">
      <c r="A128" t="s">
        <v>1905</v>
      </c>
      <c r="B128" t="s">
        <v>608</v>
      </c>
      <c r="C128" t="s">
        <v>1929</v>
      </c>
      <c r="D128" t="s">
        <v>691</v>
      </c>
      <c r="E128" t="s">
        <v>692</v>
      </c>
      <c r="F128" t="s">
        <v>693</v>
      </c>
      <c r="G128">
        <v>15</v>
      </c>
      <c r="H128">
        <v>18723</v>
      </c>
      <c r="I128">
        <v>85</v>
      </c>
      <c r="J128">
        <v>362963</v>
      </c>
      <c r="K128">
        <v>70</v>
      </c>
      <c r="L128" t="s">
        <v>696</v>
      </c>
      <c r="M128" t="s">
        <v>25</v>
      </c>
      <c r="N128" t="s">
        <v>694</v>
      </c>
      <c r="O128" t="s">
        <v>695</v>
      </c>
      <c r="P128">
        <v>442</v>
      </c>
      <c r="Q128">
        <v>14</v>
      </c>
      <c r="R128">
        <v>18630</v>
      </c>
      <c r="S128">
        <v>84</v>
      </c>
      <c r="T128" t="s">
        <v>695</v>
      </c>
      <c r="U128">
        <v>-1</v>
      </c>
      <c r="V128">
        <v>93</v>
      </c>
      <c r="W128">
        <v>93</v>
      </c>
      <c r="X128">
        <v>1</v>
      </c>
      <c r="Y128">
        <v>0.49919484702093397</v>
      </c>
      <c r="Z128" t="s">
        <v>18</v>
      </c>
      <c r="AA128">
        <v>1</v>
      </c>
    </row>
    <row r="129" spans="1:27">
      <c r="A129" t="s">
        <v>1905</v>
      </c>
      <c r="B129" t="s">
        <v>608</v>
      </c>
      <c r="C129" t="s">
        <v>1930</v>
      </c>
      <c r="D129" t="s">
        <v>989</v>
      </c>
      <c r="E129" t="s">
        <v>990</v>
      </c>
      <c r="F129" t="s">
        <v>991</v>
      </c>
      <c r="G129">
        <v>66</v>
      </c>
      <c r="H129">
        <v>790</v>
      </c>
      <c r="I129">
        <v>51</v>
      </c>
      <c r="J129">
        <v>117977</v>
      </c>
      <c r="K129">
        <v>52</v>
      </c>
      <c r="L129" t="s">
        <v>994</v>
      </c>
      <c r="M129" t="s">
        <v>25</v>
      </c>
      <c r="N129" t="s">
        <v>992</v>
      </c>
      <c r="O129" t="s">
        <v>993</v>
      </c>
      <c r="P129">
        <v>107</v>
      </c>
      <c r="Q129">
        <v>69</v>
      </c>
      <c r="R129">
        <v>772</v>
      </c>
      <c r="S129">
        <v>51</v>
      </c>
      <c r="T129" t="s">
        <v>993</v>
      </c>
      <c r="U129">
        <v>3</v>
      </c>
      <c r="V129">
        <v>18</v>
      </c>
      <c r="W129">
        <v>18</v>
      </c>
      <c r="X129">
        <v>0</v>
      </c>
      <c r="Y129">
        <v>2.3316062176165802</v>
      </c>
      <c r="Z129" t="s">
        <v>18</v>
      </c>
      <c r="AA129">
        <v>1</v>
      </c>
    </row>
    <row r="130" spans="1:27">
      <c r="A130" t="s">
        <v>1905</v>
      </c>
      <c r="B130" t="s">
        <v>608</v>
      </c>
      <c r="C130" t="s">
        <v>1931</v>
      </c>
      <c r="D130" t="s">
        <v>786</v>
      </c>
      <c r="E130" t="s">
        <v>787</v>
      </c>
      <c r="F130" t="s">
        <v>788</v>
      </c>
      <c r="G130">
        <v>31</v>
      </c>
      <c r="H130">
        <v>1496</v>
      </c>
      <c r="I130">
        <v>78</v>
      </c>
      <c r="J130">
        <v>98950</v>
      </c>
      <c r="K130">
        <v>38</v>
      </c>
      <c r="L130" t="s">
        <v>791</v>
      </c>
      <c r="M130" t="s">
        <v>25</v>
      </c>
      <c r="N130" t="s">
        <v>789</v>
      </c>
      <c r="O130" t="s">
        <v>790</v>
      </c>
      <c r="P130">
        <v>373</v>
      </c>
      <c r="Q130">
        <v>35</v>
      </c>
      <c r="R130">
        <v>1450</v>
      </c>
      <c r="S130">
        <v>76</v>
      </c>
      <c r="T130" t="s">
        <v>790</v>
      </c>
      <c r="U130">
        <v>4</v>
      </c>
      <c r="V130">
        <v>46</v>
      </c>
      <c r="W130">
        <v>46</v>
      </c>
      <c r="X130">
        <v>2</v>
      </c>
      <c r="Y130">
        <v>3.172413793103448</v>
      </c>
      <c r="Z130" t="s">
        <v>18</v>
      </c>
      <c r="AA130">
        <v>1</v>
      </c>
    </row>
    <row r="131" spans="1:27">
      <c r="A131" t="s">
        <v>1905</v>
      </c>
      <c r="B131" t="s">
        <v>608</v>
      </c>
      <c r="C131" t="s">
        <v>1932</v>
      </c>
      <c r="D131" t="s">
        <v>1007</v>
      </c>
      <c r="E131" t="s">
        <v>1008</v>
      </c>
      <c r="F131" t="s">
        <v>1009</v>
      </c>
      <c r="G131">
        <v>69</v>
      </c>
      <c r="H131">
        <v>2822</v>
      </c>
      <c r="I131">
        <v>62</v>
      </c>
      <c r="J131">
        <v>319539</v>
      </c>
      <c r="K131">
        <v>64</v>
      </c>
      <c r="L131" t="s">
        <v>1012</v>
      </c>
      <c r="M131" t="s">
        <v>25</v>
      </c>
      <c r="N131" t="s">
        <v>1010</v>
      </c>
      <c r="O131" t="s">
        <v>1011</v>
      </c>
      <c r="P131">
        <v>416</v>
      </c>
      <c r="Q131">
        <v>68</v>
      </c>
      <c r="R131">
        <v>2809</v>
      </c>
      <c r="S131">
        <v>61</v>
      </c>
      <c r="T131" t="s">
        <v>1011</v>
      </c>
      <c r="U131">
        <v>-1</v>
      </c>
      <c r="V131">
        <v>13</v>
      </c>
      <c r="W131">
        <v>13</v>
      </c>
      <c r="X131">
        <v>1</v>
      </c>
      <c r="Y131">
        <v>0.46279814880740477</v>
      </c>
      <c r="Z131" t="s">
        <v>18</v>
      </c>
      <c r="AA131">
        <v>1</v>
      </c>
    </row>
    <row r="132" spans="1:27">
      <c r="A132" t="s">
        <v>1905</v>
      </c>
      <c r="B132" t="s">
        <v>608</v>
      </c>
      <c r="C132" t="s">
        <v>1933</v>
      </c>
      <c r="D132" t="s">
        <v>886</v>
      </c>
      <c r="E132" t="s">
        <v>692</v>
      </c>
      <c r="F132" t="s">
        <v>887</v>
      </c>
      <c r="G132">
        <v>48</v>
      </c>
      <c r="H132">
        <v>3792</v>
      </c>
      <c r="I132">
        <v>60</v>
      </c>
      <c r="J132">
        <v>261158</v>
      </c>
      <c r="K132">
        <v>55</v>
      </c>
      <c r="L132" t="s">
        <v>890</v>
      </c>
      <c r="M132" t="s">
        <v>25</v>
      </c>
      <c r="N132" t="s">
        <v>888</v>
      </c>
      <c r="O132" t="s">
        <v>889</v>
      </c>
      <c r="P132">
        <v>406</v>
      </c>
      <c r="Q132">
        <v>50</v>
      </c>
      <c r="R132">
        <v>3764</v>
      </c>
      <c r="S132">
        <v>59</v>
      </c>
      <c r="T132" t="s">
        <v>889</v>
      </c>
      <c r="U132">
        <v>2</v>
      </c>
      <c r="V132">
        <v>28</v>
      </c>
      <c r="W132">
        <v>28</v>
      </c>
      <c r="X132">
        <v>1</v>
      </c>
      <c r="Y132">
        <v>0.74388947927736448</v>
      </c>
      <c r="Z132" t="s">
        <v>18</v>
      </c>
      <c r="AA132">
        <v>1</v>
      </c>
    </row>
    <row r="133" spans="1:27">
      <c r="A133" t="s">
        <v>1905</v>
      </c>
      <c r="B133" t="s">
        <v>608</v>
      </c>
      <c r="C133" t="s">
        <v>1934</v>
      </c>
      <c r="D133" t="s">
        <v>756</v>
      </c>
      <c r="E133" t="s">
        <v>757</v>
      </c>
      <c r="F133" t="s">
        <v>758</v>
      </c>
      <c r="G133">
        <v>26</v>
      </c>
      <c r="H133">
        <v>19391</v>
      </c>
      <c r="I133">
        <v>43</v>
      </c>
      <c r="J133">
        <v>125637</v>
      </c>
      <c r="K133">
        <v>41</v>
      </c>
      <c r="L133" t="s">
        <v>761</v>
      </c>
      <c r="M133" t="s">
        <v>25</v>
      </c>
      <c r="N133" t="s">
        <v>759</v>
      </c>
      <c r="O133" t="s">
        <v>760</v>
      </c>
      <c r="P133">
        <v>347</v>
      </c>
      <c r="Q133">
        <v>24</v>
      </c>
      <c r="R133">
        <v>19346</v>
      </c>
      <c r="S133">
        <v>43</v>
      </c>
      <c r="T133" t="s">
        <v>760</v>
      </c>
      <c r="U133">
        <v>-2</v>
      </c>
      <c r="V133">
        <v>45</v>
      </c>
      <c r="W133">
        <v>45</v>
      </c>
      <c r="X133">
        <v>0</v>
      </c>
      <c r="Y133">
        <v>0.23260622350873569</v>
      </c>
      <c r="Z133" t="s">
        <v>18</v>
      </c>
      <c r="AA133">
        <v>1</v>
      </c>
    </row>
    <row r="134" spans="1:27">
      <c r="A134" t="s">
        <v>1905</v>
      </c>
      <c r="B134" t="s">
        <v>608</v>
      </c>
      <c r="C134" t="s">
        <v>1935</v>
      </c>
      <c r="D134" t="s">
        <v>655</v>
      </c>
      <c r="E134" t="s">
        <v>656</v>
      </c>
      <c r="F134" t="s">
        <v>657</v>
      </c>
      <c r="G134">
        <v>9</v>
      </c>
      <c r="H134">
        <v>3597</v>
      </c>
      <c r="I134">
        <v>27</v>
      </c>
      <c r="J134">
        <v>77614</v>
      </c>
      <c r="K134">
        <v>26</v>
      </c>
      <c r="L134" t="s">
        <v>660</v>
      </c>
      <c r="M134" t="s">
        <v>25</v>
      </c>
      <c r="N134" t="s">
        <v>658</v>
      </c>
      <c r="O134" t="s">
        <v>659</v>
      </c>
      <c r="P134">
        <v>395</v>
      </c>
      <c r="Q134">
        <v>8</v>
      </c>
      <c r="R134">
        <v>3440</v>
      </c>
      <c r="S134">
        <v>26</v>
      </c>
      <c r="T134" t="s">
        <v>659</v>
      </c>
      <c r="U134">
        <v>-1</v>
      </c>
      <c r="V134">
        <v>157</v>
      </c>
      <c r="W134">
        <v>157</v>
      </c>
      <c r="X134">
        <v>1</v>
      </c>
      <c r="Y134">
        <v>4.5639534883720936</v>
      </c>
      <c r="Z134" t="s">
        <v>18</v>
      </c>
      <c r="AA134">
        <v>1</v>
      </c>
    </row>
    <row r="135" spans="1:27">
      <c r="A135" t="s">
        <v>1905</v>
      </c>
      <c r="B135" t="s">
        <v>608</v>
      </c>
      <c r="C135" t="s">
        <v>1936</v>
      </c>
      <c r="D135" t="s">
        <v>780</v>
      </c>
      <c r="E135" t="s">
        <v>781</v>
      </c>
      <c r="F135" t="s">
        <v>782</v>
      </c>
      <c r="G135">
        <v>30</v>
      </c>
      <c r="H135">
        <v>3277</v>
      </c>
      <c r="I135">
        <v>92</v>
      </c>
      <c r="J135">
        <v>382197</v>
      </c>
      <c r="K135">
        <v>58</v>
      </c>
      <c r="L135" t="s">
        <v>785</v>
      </c>
      <c r="M135" t="s">
        <v>25</v>
      </c>
      <c r="N135" t="s">
        <v>783</v>
      </c>
      <c r="O135" t="s">
        <v>784</v>
      </c>
      <c r="P135">
        <v>920</v>
      </c>
      <c r="Q135">
        <v>27</v>
      </c>
      <c r="R135">
        <v>3252</v>
      </c>
      <c r="S135">
        <v>91</v>
      </c>
      <c r="T135" t="s">
        <v>784</v>
      </c>
      <c r="U135">
        <v>-3</v>
      </c>
      <c r="V135">
        <v>25</v>
      </c>
      <c r="W135">
        <v>25</v>
      </c>
      <c r="X135">
        <v>1</v>
      </c>
      <c r="Y135">
        <v>0.76875768757687579</v>
      </c>
      <c r="Z135" t="s">
        <v>18</v>
      </c>
      <c r="AA135">
        <v>1</v>
      </c>
    </row>
    <row r="136" spans="1:27">
      <c r="A136" t="s">
        <v>1905</v>
      </c>
      <c r="B136" t="s">
        <v>608</v>
      </c>
      <c r="C136" t="s">
        <v>1937</v>
      </c>
      <c r="D136" t="s">
        <v>638</v>
      </c>
      <c r="E136" t="s">
        <v>639</v>
      </c>
      <c r="F136" t="s">
        <v>640</v>
      </c>
      <c r="G136">
        <v>6</v>
      </c>
      <c r="H136">
        <v>1961</v>
      </c>
      <c r="I136">
        <v>24</v>
      </c>
      <c r="J136">
        <v>59553</v>
      </c>
      <c r="K136">
        <v>6</v>
      </c>
      <c r="L136" t="s">
        <v>643</v>
      </c>
      <c r="M136" t="s">
        <v>25</v>
      </c>
      <c r="N136" t="s">
        <v>641</v>
      </c>
      <c r="O136" t="s">
        <v>642</v>
      </c>
      <c r="P136">
        <v>288</v>
      </c>
      <c r="Q136">
        <v>6</v>
      </c>
      <c r="R136">
        <v>1753</v>
      </c>
      <c r="S136">
        <v>24</v>
      </c>
      <c r="T136" t="s">
        <v>642</v>
      </c>
      <c r="U136">
        <v>0</v>
      </c>
      <c r="V136">
        <v>208</v>
      </c>
      <c r="W136">
        <v>208</v>
      </c>
      <c r="X136">
        <v>0</v>
      </c>
      <c r="Y136">
        <v>11.865373645179689</v>
      </c>
      <c r="Z136" t="s">
        <v>18</v>
      </c>
      <c r="AA136">
        <v>1</v>
      </c>
    </row>
    <row r="137" spans="1:27">
      <c r="A137" t="s">
        <v>1905</v>
      </c>
      <c r="B137" t="s">
        <v>608</v>
      </c>
      <c r="C137" t="s">
        <v>1938</v>
      </c>
      <c r="D137" t="s">
        <v>1114</v>
      </c>
      <c r="E137" t="s">
        <v>1115</v>
      </c>
      <c r="F137" t="s">
        <v>1116</v>
      </c>
      <c r="G137">
        <v>88</v>
      </c>
      <c r="H137">
        <v>568</v>
      </c>
      <c r="I137">
        <v>56</v>
      </c>
      <c r="J137">
        <v>59874</v>
      </c>
      <c r="K137">
        <v>52</v>
      </c>
      <c r="L137" t="s">
        <v>1119</v>
      </c>
      <c r="M137" t="s">
        <v>25</v>
      </c>
      <c r="N137" t="s">
        <v>1117</v>
      </c>
      <c r="O137" t="s">
        <v>1118</v>
      </c>
      <c r="P137">
        <v>286</v>
      </c>
      <c r="Q137">
        <v>95</v>
      </c>
      <c r="R137">
        <v>545</v>
      </c>
      <c r="S137">
        <v>56</v>
      </c>
      <c r="T137" t="s">
        <v>1118</v>
      </c>
      <c r="U137">
        <v>7</v>
      </c>
      <c r="V137">
        <v>23</v>
      </c>
      <c r="W137">
        <v>23</v>
      </c>
      <c r="X137">
        <v>0</v>
      </c>
      <c r="Y137">
        <v>4.2201834862385326</v>
      </c>
      <c r="Z137" t="s">
        <v>18</v>
      </c>
      <c r="AA137">
        <v>1</v>
      </c>
    </row>
    <row r="138" spans="1:27">
      <c r="A138" t="s">
        <v>1905</v>
      </c>
      <c r="B138" t="s">
        <v>608</v>
      </c>
      <c r="C138" t="s">
        <v>1939</v>
      </c>
      <c r="D138" t="s">
        <v>1024</v>
      </c>
      <c r="E138" t="s">
        <v>1025</v>
      </c>
      <c r="F138" t="s">
        <v>1026</v>
      </c>
      <c r="G138">
        <v>72</v>
      </c>
      <c r="H138">
        <v>136</v>
      </c>
      <c r="I138">
        <v>60</v>
      </c>
      <c r="J138">
        <v>87899</v>
      </c>
      <c r="K138">
        <v>51</v>
      </c>
      <c r="L138" t="s">
        <v>1029</v>
      </c>
      <c r="M138" t="s">
        <v>25</v>
      </c>
      <c r="N138" t="s">
        <v>1027</v>
      </c>
      <c r="O138" t="s">
        <v>1028</v>
      </c>
      <c r="P138">
        <v>396</v>
      </c>
      <c r="Q138">
        <v>78</v>
      </c>
      <c r="R138">
        <v>123</v>
      </c>
      <c r="S138">
        <v>59</v>
      </c>
      <c r="T138" t="s">
        <v>1028</v>
      </c>
      <c r="U138">
        <v>6</v>
      </c>
      <c r="V138">
        <v>13</v>
      </c>
      <c r="W138">
        <v>13</v>
      </c>
      <c r="X138">
        <v>1</v>
      </c>
      <c r="Y138">
        <v>10.56910569105691</v>
      </c>
      <c r="Z138" t="s">
        <v>18</v>
      </c>
      <c r="AA138">
        <v>1</v>
      </c>
    </row>
    <row r="139" spans="1:27">
      <c r="A139" t="s">
        <v>1905</v>
      </c>
      <c r="B139" t="s">
        <v>608</v>
      </c>
      <c r="C139" t="s">
        <v>1940</v>
      </c>
      <c r="D139" t="s">
        <v>954</v>
      </c>
      <c r="E139" t="s">
        <v>955</v>
      </c>
      <c r="F139" t="s">
        <v>956</v>
      </c>
      <c r="G139">
        <v>60</v>
      </c>
      <c r="H139">
        <v>12573</v>
      </c>
      <c r="I139">
        <v>31</v>
      </c>
      <c r="J139">
        <v>117085</v>
      </c>
      <c r="K139">
        <v>15</v>
      </c>
      <c r="L139" t="s">
        <v>959</v>
      </c>
      <c r="M139" t="s">
        <v>44</v>
      </c>
      <c r="N139" t="s">
        <v>957</v>
      </c>
      <c r="O139" t="s">
        <v>958</v>
      </c>
      <c r="P139">
        <v>151</v>
      </c>
      <c r="Q139">
        <v>59</v>
      </c>
      <c r="R139">
        <v>12550</v>
      </c>
      <c r="S139">
        <v>31</v>
      </c>
      <c r="T139" t="s">
        <v>958</v>
      </c>
      <c r="U139">
        <v>-1</v>
      </c>
      <c r="V139">
        <v>23</v>
      </c>
      <c r="W139">
        <v>23</v>
      </c>
      <c r="X139">
        <v>0</v>
      </c>
      <c r="Y139">
        <v>0.18326693227091631</v>
      </c>
      <c r="Z139" t="s">
        <v>18</v>
      </c>
      <c r="AA139">
        <v>1</v>
      </c>
    </row>
    <row r="140" spans="1:27">
      <c r="A140" t="s">
        <v>1905</v>
      </c>
      <c r="B140" t="s">
        <v>608</v>
      </c>
      <c r="C140" t="s">
        <v>1941</v>
      </c>
      <c r="D140" t="s">
        <v>896</v>
      </c>
      <c r="E140" t="s">
        <v>897</v>
      </c>
      <c r="F140" t="s">
        <v>898</v>
      </c>
      <c r="G140">
        <v>50</v>
      </c>
      <c r="H140">
        <v>627</v>
      </c>
      <c r="I140">
        <v>45</v>
      </c>
      <c r="J140">
        <v>144112</v>
      </c>
      <c r="K140">
        <v>31</v>
      </c>
      <c r="L140" t="s">
        <v>901</v>
      </c>
      <c r="M140" t="s">
        <v>25</v>
      </c>
      <c r="N140" t="s">
        <v>899</v>
      </c>
      <c r="O140" t="s">
        <v>900</v>
      </c>
      <c r="P140">
        <v>346</v>
      </c>
      <c r="Q140">
        <v>54</v>
      </c>
      <c r="R140">
        <v>606</v>
      </c>
      <c r="S140">
        <v>44</v>
      </c>
      <c r="T140" t="s">
        <v>900</v>
      </c>
      <c r="U140">
        <v>4</v>
      </c>
      <c r="V140">
        <v>21</v>
      </c>
      <c r="W140">
        <v>21</v>
      </c>
      <c r="X140">
        <v>1</v>
      </c>
      <c r="Y140">
        <v>3.4653465346534662</v>
      </c>
      <c r="Z140" t="s">
        <v>18</v>
      </c>
      <c r="AA140">
        <v>1</v>
      </c>
    </row>
    <row r="141" spans="1:27">
      <c r="A141" t="s">
        <v>1905</v>
      </c>
      <c r="B141" t="s">
        <v>608</v>
      </c>
      <c r="C141" t="s">
        <v>1942</v>
      </c>
      <c r="D141" t="s">
        <v>874</v>
      </c>
      <c r="E141" t="s">
        <v>875</v>
      </c>
      <c r="F141" t="s">
        <v>876</v>
      </c>
      <c r="G141">
        <v>46</v>
      </c>
      <c r="H141">
        <v>1308</v>
      </c>
      <c r="I141">
        <v>63</v>
      </c>
      <c r="J141">
        <v>145685</v>
      </c>
      <c r="K141">
        <v>47</v>
      </c>
      <c r="L141" t="s">
        <v>879</v>
      </c>
      <c r="M141" t="s">
        <v>25</v>
      </c>
      <c r="N141" t="s">
        <v>877</v>
      </c>
      <c r="O141" t="s">
        <v>878</v>
      </c>
      <c r="P141">
        <v>345</v>
      </c>
      <c r="Q141">
        <v>46</v>
      </c>
      <c r="R141">
        <v>1280</v>
      </c>
      <c r="S141">
        <v>62</v>
      </c>
      <c r="T141" t="s">
        <v>878</v>
      </c>
      <c r="U141">
        <v>0</v>
      </c>
      <c r="V141">
        <v>28</v>
      </c>
      <c r="W141">
        <v>28</v>
      </c>
      <c r="X141">
        <v>1</v>
      </c>
      <c r="Y141">
        <v>2.1875</v>
      </c>
      <c r="Z141" t="s">
        <v>18</v>
      </c>
      <c r="AA141">
        <v>1</v>
      </c>
    </row>
    <row r="142" spans="1:27">
      <c r="A142" t="s">
        <v>1905</v>
      </c>
      <c r="B142" t="s">
        <v>608</v>
      </c>
      <c r="C142" t="s">
        <v>1943</v>
      </c>
      <c r="D142" t="s">
        <v>977</v>
      </c>
      <c r="E142" t="s">
        <v>978</v>
      </c>
      <c r="F142" t="s">
        <v>979</v>
      </c>
      <c r="G142">
        <v>64</v>
      </c>
      <c r="H142">
        <v>711</v>
      </c>
      <c r="I142">
        <v>33</v>
      </c>
      <c r="J142">
        <v>97693</v>
      </c>
      <c r="K142">
        <v>28</v>
      </c>
      <c r="L142" t="s">
        <v>982</v>
      </c>
      <c r="M142" t="s">
        <v>25</v>
      </c>
      <c r="N142" t="s">
        <v>980</v>
      </c>
      <c r="O142" t="s">
        <v>981</v>
      </c>
      <c r="P142">
        <v>455</v>
      </c>
      <c r="Q142">
        <v>73</v>
      </c>
      <c r="R142">
        <v>658</v>
      </c>
      <c r="S142">
        <v>32</v>
      </c>
      <c r="T142" t="s">
        <v>981</v>
      </c>
      <c r="U142">
        <v>9</v>
      </c>
      <c r="V142">
        <v>53</v>
      </c>
      <c r="W142">
        <v>53</v>
      </c>
      <c r="X142">
        <v>1</v>
      </c>
      <c r="Y142">
        <v>8.0547112462006076</v>
      </c>
      <c r="Z142" t="s">
        <v>18</v>
      </c>
      <c r="AA142">
        <v>1</v>
      </c>
    </row>
    <row r="143" spans="1:27">
      <c r="A143" t="s">
        <v>1905</v>
      </c>
      <c r="B143" t="s">
        <v>608</v>
      </c>
      <c r="C143" t="s">
        <v>1944</v>
      </c>
      <c r="D143" t="s">
        <v>709</v>
      </c>
      <c r="E143" t="s">
        <v>710</v>
      </c>
      <c r="F143" t="s">
        <v>711</v>
      </c>
      <c r="G143">
        <v>18</v>
      </c>
      <c r="H143">
        <v>2275</v>
      </c>
      <c r="I143">
        <v>39</v>
      </c>
      <c r="J143">
        <v>78546</v>
      </c>
      <c r="K143">
        <v>31</v>
      </c>
      <c r="L143" t="s">
        <v>714</v>
      </c>
      <c r="M143" t="s">
        <v>25</v>
      </c>
      <c r="N143" t="s">
        <v>712</v>
      </c>
      <c r="O143" t="s">
        <v>713</v>
      </c>
      <c r="P143">
        <v>327</v>
      </c>
      <c r="Q143">
        <v>20</v>
      </c>
      <c r="R143">
        <v>2197</v>
      </c>
      <c r="S143">
        <v>38</v>
      </c>
      <c r="T143" t="s">
        <v>713</v>
      </c>
      <c r="U143">
        <v>2</v>
      </c>
      <c r="V143">
        <v>78</v>
      </c>
      <c r="W143">
        <v>78</v>
      </c>
      <c r="X143">
        <v>1</v>
      </c>
      <c r="Y143">
        <v>3.550295857988166</v>
      </c>
      <c r="Z143" t="s">
        <v>18</v>
      </c>
      <c r="AA143">
        <v>1</v>
      </c>
    </row>
    <row r="144" spans="1:27">
      <c r="A144" t="s">
        <v>1905</v>
      </c>
      <c r="B144" t="s">
        <v>608</v>
      </c>
      <c r="C144" t="s">
        <v>1945</v>
      </c>
      <c r="D144" t="s">
        <v>697</v>
      </c>
      <c r="E144" t="s">
        <v>698</v>
      </c>
      <c r="F144" t="s">
        <v>699</v>
      </c>
      <c r="G144">
        <v>16</v>
      </c>
      <c r="H144">
        <v>1769</v>
      </c>
      <c r="I144">
        <v>30</v>
      </c>
      <c r="J144">
        <v>57393</v>
      </c>
      <c r="K144">
        <v>31</v>
      </c>
      <c r="L144" t="s">
        <v>702</v>
      </c>
      <c r="M144" t="s">
        <v>25</v>
      </c>
      <c r="N144" t="s">
        <v>700</v>
      </c>
      <c r="O144" t="s">
        <v>701</v>
      </c>
      <c r="P144">
        <v>289</v>
      </c>
      <c r="Q144">
        <v>16</v>
      </c>
      <c r="R144">
        <v>1691</v>
      </c>
      <c r="S144">
        <v>30</v>
      </c>
      <c r="T144" t="s">
        <v>701</v>
      </c>
      <c r="U144">
        <v>0</v>
      </c>
      <c r="V144">
        <v>78</v>
      </c>
      <c r="W144">
        <v>78</v>
      </c>
      <c r="X144">
        <v>0</v>
      </c>
      <c r="Y144">
        <v>4.6126552335895914</v>
      </c>
      <c r="Z144" t="s">
        <v>18</v>
      </c>
      <c r="AA144">
        <v>1</v>
      </c>
    </row>
    <row r="145" spans="1:27">
      <c r="A145" t="s">
        <v>1905</v>
      </c>
      <c r="B145" t="s">
        <v>608</v>
      </c>
      <c r="C145" t="s">
        <v>1946</v>
      </c>
      <c r="D145" t="s">
        <v>809</v>
      </c>
      <c r="E145" t="s">
        <v>810</v>
      </c>
      <c r="F145" t="s">
        <v>811</v>
      </c>
      <c r="G145">
        <v>35</v>
      </c>
      <c r="H145">
        <v>1885</v>
      </c>
      <c r="I145">
        <v>90</v>
      </c>
      <c r="J145">
        <v>353257</v>
      </c>
      <c r="K145">
        <v>43</v>
      </c>
      <c r="L145" t="s">
        <v>814</v>
      </c>
      <c r="M145" t="s">
        <v>25</v>
      </c>
      <c r="N145" t="s">
        <v>812</v>
      </c>
      <c r="O145" t="s">
        <v>813</v>
      </c>
      <c r="P145">
        <v>322</v>
      </c>
      <c r="Q145">
        <v>37</v>
      </c>
      <c r="R145">
        <v>1855</v>
      </c>
      <c r="S145">
        <v>89</v>
      </c>
      <c r="T145" t="s">
        <v>813</v>
      </c>
      <c r="U145">
        <v>2</v>
      </c>
      <c r="V145">
        <v>30</v>
      </c>
      <c r="W145">
        <v>30</v>
      </c>
      <c r="X145">
        <v>1</v>
      </c>
      <c r="Y145">
        <v>1.617250673854447</v>
      </c>
      <c r="Z145" t="s">
        <v>18</v>
      </c>
      <c r="AA145">
        <v>1</v>
      </c>
    </row>
    <row r="146" spans="1:27">
      <c r="A146" t="s">
        <v>1905</v>
      </c>
      <c r="B146" t="s">
        <v>608</v>
      </c>
      <c r="C146" t="s">
        <v>1947</v>
      </c>
      <c r="D146" t="s">
        <v>727</v>
      </c>
      <c r="E146" t="s">
        <v>728</v>
      </c>
      <c r="F146" t="s">
        <v>729</v>
      </c>
      <c r="G146">
        <v>21</v>
      </c>
      <c r="H146">
        <v>844</v>
      </c>
      <c r="I146">
        <v>147</v>
      </c>
      <c r="J146">
        <v>581745</v>
      </c>
      <c r="K146">
        <v>44</v>
      </c>
      <c r="L146" t="s">
        <v>732</v>
      </c>
      <c r="M146" t="s">
        <v>25</v>
      </c>
      <c r="N146" t="s">
        <v>730</v>
      </c>
      <c r="O146" t="s">
        <v>731</v>
      </c>
      <c r="P146">
        <v>332</v>
      </c>
      <c r="Q146">
        <v>22</v>
      </c>
      <c r="R146">
        <v>802</v>
      </c>
      <c r="S146">
        <v>143</v>
      </c>
      <c r="T146" t="s">
        <v>731</v>
      </c>
      <c r="U146">
        <v>1</v>
      </c>
      <c r="V146">
        <v>42</v>
      </c>
      <c r="W146">
        <v>42</v>
      </c>
      <c r="X146">
        <v>4</v>
      </c>
      <c r="Y146">
        <v>5.2369077306733169</v>
      </c>
      <c r="Z146" t="s">
        <v>18</v>
      </c>
      <c r="AA146">
        <v>1</v>
      </c>
    </row>
    <row r="147" spans="1:27">
      <c r="A147" t="s">
        <v>1905</v>
      </c>
      <c r="B147" t="s">
        <v>608</v>
      </c>
      <c r="C147" t="s">
        <v>1948</v>
      </c>
      <c r="D147" t="s">
        <v>1001</v>
      </c>
      <c r="E147" t="s">
        <v>1002</v>
      </c>
      <c r="F147" t="s">
        <v>1003</v>
      </c>
      <c r="G147">
        <v>68</v>
      </c>
      <c r="H147">
        <v>3586</v>
      </c>
      <c r="I147">
        <v>41</v>
      </c>
      <c r="J147">
        <v>65327</v>
      </c>
      <c r="K147">
        <v>42</v>
      </c>
      <c r="L147" t="s">
        <v>1006</v>
      </c>
      <c r="M147" t="s">
        <v>25</v>
      </c>
      <c r="N147" t="s">
        <v>1004</v>
      </c>
      <c r="O147" t="s">
        <v>1005</v>
      </c>
      <c r="P147">
        <v>201</v>
      </c>
      <c r="Q147">
        <v>56</v>
      </c>
      <c r="R147">
        <v>3573</v>
      </c>
      <c r="S147">
        <v>40</v>
      </c>
      <c r="T147" t="s">
        <v>1005</v>
      </c>
      <c r="U147">
        <v>-12</v>
      </c>
      <c r="V147">
        <v>13</v>
      </c>
      <c r="W147">
        <v>13</v>
      </c>
      <c r="X147">
        <v>1</v>
      </c>
      <c r="Y147">
        <v>0.36383991043940672</v>
      </c>
      <c r="Z147" t="s">
        <v>18</v>
      </c>
      <c r="AA147">
        <v>1</v>
      </c>
    </row>
    <row r="148" spans="1:27">
      <c r="A148" t="s">
        <v>1905</v>
      </c>
      <c r="B148" t="s">
        <v>608</v>
      </c>
      <c r="C148" t="s">
        <v>1949</v>
      </c>
      <c r="D148" t="s">
        <v>762</v>
      </c>
      <c r="E148" t="s">
        <v>763</v>
      </c>
      <c r="F148" t="s">
        <v>764</v>
      </c>
      <c r="G148">
        <v>27</v>
      </c>
      <c r="H148">
        <v>4671</v>
      </c>
      <c r="I148">
        <v>105</v>
      </c>
      <c r="J148">
        <v>197419</v>
      </c>
      <c r="K148">
        <v>31</v>
      </c>
      <c r="L148" t="s">
        <v>767</v>
      </c>
      <c r="M148" t="s">
        <v>25</v>
      </c>
      <c r="N148" t="s">
        <v>765</v>
      </c>
      <c r="O148" t="s">
        <v>766</v>
      </c>
      <c r="P148">
        <v>548</v>
      </c>
      <c r="Q148">
        <v>33</v>
      </c>
      <c r="R148">
        <v>4620</v>
      </c>
      <c r="S148">
        <v>105</v>
      </c>
      <c r="T148" t="s">
        <v>766</v>
      </c>
      <c r="U148">
        <v>6</v>
      </c>
      <c r="V148">
        <v>51</v>
      </c>
      <c r="W148">
        <v>51</v>
      </c>
      <c r="X148">
        <v>0</v>
      </c>
      <c r="Y148">
        <v>1.1038961038961039</v>
      </c>
      <c r="Z148" t="s">
        <v>18</v>
      </c>
      <c r="AA148">
        <v>1</v>
      </c>
    </row>
    <row r="149" spans="1:27">
      <c r="A149" t="s">
        <v>1905</v>
      </c>
      <c r="B149" t="s">
        <v>608</v>
      </c>
      <c r="C149" t="s">
        <v>1950</v>
      </c>
      <c r="D149" t="s">
        <v>703</v>
      </c>
      <c r="E149" t="s">
        <v>704</v>
      </c>
      <c r="F149" t="s">
        <v>705</v>
      </c>
      <c r="G149">
        <v>17</v>
      </c>
      <c r="H149">
        <v>1722</v>
      </c>
      <c r="I149">
        <v>35</v>
      </c>
      <c r="J149">
        <v>96096</v>
      </c>
      <c r="K149">
        <v>24</v>
      </c>
      <c r="L149" t="s">
        <v>708</v>
      </c>
      <c r="M149" t="s">
        <v>25</v>
      </c>
      <c r="N149" t="s">
        <v>706</v>
      </c>
      <c r="O149" t="s">
        <v>707</v>
      </c>
      <c r="P149">
        <v>229</v>
      </c>
      <c r="Q149">
        <v>19</v>
      </c>
      <c r="R149">
        <v>1637</v>
      </c>
      <c r="S149">
        <v>34</v>
      </c>
      <c r="T149" t="s">
        <v>707</v>
      </c>
      <c r="U149">
        <v>2</v>
      </c>
      <c r="V149">
        <v>85</v>
      </c>
      <c r="W149">
        <v>85</v>
      </c>
      <c r="X149">
        <v>1</v>
      </c>
      <c r="Y149">
        <v>5.1924251679902254</v>
      </c>
      <c r="Z149" t="s">
        <v>18</v>
      </c>
      <c r="AA149">
        <v>1</v>
      </c>
    </row>
    <row r="150" spans="1:27">
      <c r="A150" t="s">
        <v>1905</v>
      </c>
      <c r="B150" t="s">
        <v>608</v>
      </c>
      <c r="C150" t="s">
        <v>1951</v>
      </c>
      <c r="D150" t="s">
        <v>926</v>
      </c>
      <c r="E150" t="s">
        <v>927</v>
      </c>
      <c r="F150" t="s">
        <v>928</v>
      </c>
      <c r="G150">
        <v>55</v>
      </c>
      <c r="H150">
        <v>519</v>
      </c>
      <c r="I150">
        <v>32</v>
      </c>
      <c r="J150">
        <v>100606</v>
      </c>
      <c r="K150">
        <v>26</v>
      </c>
      <c r="L150" t="s">
        <v>931</v>
      </c>
      <c r="M150" t="s">
        <v>25</v>
      </c>
      <c r="N150" t="s">
        <v>929</v>
      </c>
      <c r="O150" t="s">
        <v>930</v>
      </c>
      <c r="P150">
        <v>567</v>
      </c>
      <c r="Q150">
        <v>62</v>
      </c>
      <c r="R150">
        <v>507</v>
      </c>
      <c r="S150">
        <v>31</v>
      </c>
      <c r="T150" t="s">
        <v>930</v>
      </c>
      <c r="U150">
        <v>7</v>
      </c>
      <c r="V150">
        <v>12</v>
      </c>
      <c r="W150">
        <v>12</v>
      </c>
      <c r="X150">
        <v>1</v>
      </c>
      <c r="Y150">
        <v>2.3668639053254439</v>
      </c>
      <c r="Z150" t="s">
        <v>18</v>
      </c>
      <c r="AA150">
        <v>1</v>
      </c>
    </row>
    <row r="151" spans="1:27">
      <c r="A151" t="s">
        <v>1905</v>
      </c>
      <c r="B151" t="s">
        <v>608</v>
      </c>
      <c r="C151" t="s">
        <v>1952</v>
      </c>
      <c r="D151" t="s">
        <v>1030</v>
      </c>
      <c r="E151" t="s">
        <v>135</v>
      </c>
      <c r="F151" t="s">
        <v>1031</v>
      </c>
      <c r="G151">
        <v>73</v>
      </c>
      <c r="H151">
        <v>913</v>
      </c>
      <c r="I151">
        <v>36</v>
      </c>
      <c r="J151">
        <v>258829</v>
      </c>
      <c r="K151">
        <v>35</v>
      </c>
      <c r="L151" t="s">
        <v>1034</v>
      </c>
      <c r="M151" t="s">
        <v>25</v>
      </c>
      <c r="N151" t="s">
        <v>1032</v>
      </c>
      <c r="O151" t="s">
        <v>1033</v>
      </c>
      <c r="P151">
        <v>271</v>
      </c>
      <c r="Q151">
        <v>72</v>
      </c>
      <c r="R151">
        <v>904</v>
      </c>
      <c r="S151">
        <v>35</v>
      </c>
      <c r="T151" t="s">
        <v>1033</v>
      </c>
      <c r="U151">
        <v>-1</v>
      </c>
      <c r="V151">
        <v>9</v>
      </c>
      <c r="W151">
        <v>9</v>
      </c>
      <c r="X151">
        <v>1</v>
      </c>
      <c r="Y151">
        <v>0.99557522123893805</v>
      </c>
      <c r="Z151" t="s">
        <v>18</v>
      </c>
      <c r="AA151">
        <v>1</v>
      </c>
    </row>
    <row r="152" spans="1:27">
      <c r="A152" t="s">
        <v>1905</v>
      </c>
      <c r="B152" t="s">
        <v>608</v>
      </c>
      <c r="C152" t="s">
        <v>1953</v>
      </c>
      <c r="D152" t="s">
        <v>1086</v>
      </c>
      <c r="E152" t="s">
        <v>567</v>
      </c>
      <c r="F152" t="s">
        <v>1087</v>
      </c>
      <c r="G152">
        <v>83</v>
      </c>
      <c r="H152">
        <v>762</v>
      </c>
      <c r="I152">
        <v>70</v>
      </c>
      <c r="J152">
        <v>358397</v>
      </c>
      <c r="K152">
        <v>35</v>
      </c>
      <c r="L152" t="s">
        <v>1090</v>
      </c>
      <c r="M152" t="s">
        <v>25</v>
      </c>
      <c r="N152" t="s">
        <v>1088</v>
      </c>
      <c r="O152" t="s">
        <v>1089</v>
      </c>
      <c r="P152">
        <v>966</v>
      </c>
      <c r="Q152">
        <v>81</v>
      </c>
      <c r="R152">
        <v>756</v>
      </c>
      <c r="S152">
        <v>68</v>
      </c>
      <c r="T152" t="s">
        <v>1089</v>
      </c>
      <c r="U152">
        <v>-2</v>
      </c>
      <c r="V152">
        <v>6</v>
      </c>
      <c r="W152">
        <v>6</v>
      </c>
      <c r="X152">
        <v>2</v>
      </c>
      <c r="Y152">
        <v>0.79365079365079361</v>
      </c>
      <c r="Z152" t="s">
        <v>18</v>
      </c>
      <c r="AA152">
        <v>1</v>
      </c>
    </row>
    <row r="153" spans="1:27">
      <c r="A153" t="s">
        <v>1905</v>
      </c>
      <c r="B153" t="s">
        <v>608</v>
      </c>
      <c r="C153" t="s">
        <v>1954</v>
      </c>
      <c r="D153" t="s">
        <v>880</v>
      </c>
      <c r="E153" t="s">
        <v>881</v>
      </c>
      <c r="F153" t="s">
        <v>882</v>
      </c>
      <c r="G153">
        <v>47</v>
      </c>
      <c r="H153">
        <v>769</v>
      </c>
      <c r="I153">
        <v>26</v>
      </c>
      <c r="J153">
        <v>69345</v>
      </c>
      <c r="K153">
        <v>25</v>
      </c>
      <c r="L153" t="s">
        <v>885</v>
      </c>
      <c r="M153" t="s">
        <v>25</v>
      </c>
      <c r="N153" t="s">
        <v>883</v>
      </c>
      <c r="O153" t="s">
        <v>884</v>
      </c>
      <c r="P153">
        <v>519</v>
      </c>
      <c r="Q153">
        <v>43</v>
      </c>
      <c r="R153">
        <v>751</v>
      </c>
      <c r="S153">
        <v>26</v>
      </c>
      <c r="T153" t="s">
        <v>884</v>
      </c>
      <c r="U153">
        <v>-4</v>
      </c>
      <c r="V153">
        <v>18</v>
      </c>
      <c r="W153">
        <v>18</v>
      </c>
      <c r="X153">
        <v>0</v>
      </c>
      <c r="Y153">
        <v>2.3968042609853528</v>
      </c>
      <c r="Z153" t="s">
        <v>18</v>
      </c>
      <c r="AA153">
        <v>1</v>
      </c>
    </row>
    <row r="154" spans="1:27">
      <c r="A154" t="s">
        <v>1905</v>
      </c>
      <c r="B154" t="s">
        <v>608</v>
      </c>
      <c r="C154" t="s">
        <v>1955</v>
      </c>
      <c r="D154" t="s">
        <v>792</v>
      </c>
      <c r="E154" t="s">
        <v>793</v>
      </c>
      <c r="F154" t="s">
        <v>794</v>
      </c>
      <c r="G154">
        <v>32</v>
      </c>
      <c r="H154">
        <v>1652</v>
      </c>
      <c r="I154">
        <v>45</v>
      </c>
      <c r="J154">
        <v>125634</v>
      </c>
      <c r="K154">
        <v>33</v>
      </c>
      <c r="L154" t="s">
        <v>797</v>
      </c>
      <c r="M154" t="s">
        <v>25</v>
      </c>
      <c r="N154" t="s">
        <v>795</v>
      </c>
      <c r="O154" t="s">
        <v>796</v>
      </c>
      <c r="P154">
        <v>51</v>
      </c>
      <c r="Q154">
        <v>30</v>
      </c>
      <c r="R154">
        <v>1599</v>
      </c>
      <c r="S154">
        <v>44</v>
      </c>
      <c r="T154" t="s">
        <v>796</v>
      </c>
      <c r="U154">
        <v>-2</v>
      </c>
      <c r="V154">
        <v>53</v>
      </c>
      <c r="W154">
        <v>53</v>
      </c>
      <c r="X154">
        <v>1</v>
      </c>
      <c r="Y154">
        <v>3.3145716072545341</v>
      </c>
      <c r="Z154" t="s">
        <v>18</v>
      </c>
      <c r="AA154">
        <v>1</v>
      </c>
    </row>
    <row r="155" spans="1:27">
      <c r="A155" t="s">
        <v>1905</v>
      </c>
      <c r="B155" t="s">
        <v>608</v>
      </c>
      <c r="C155" t="s">
        <v>1956</v>
      </c>
      <c r="D155" t="s">
        <v>908</v>
      </c>
      <c r="E155" t="s">
        <v>909</v>
      </c>
      <c r="F155" t="s">
        <v>910</v>
      </c>
      <c r="G155">
        <v>52</v>
      </c>
      <c r="H155">
        <v>320</v>
      </c>
      <c r="I155">
        <v>18</v>
      </c>
      <c r="J155">
        <v>41193</v>
      </c>
      <c r="K155">
        <v>12</v>
      </c>
      <c r="L155" t="s">
        <v>913</v>
      </c>
      <c r="M155" t="s">
        <v>25</v>
      </c>
      <c r="N155" t="s">
        <v>911</v>
      </c>
      <c r="O155" t="s">
        <v>912</v>
      </c>
      <c r="P155">
        <v>148</v>
      </c>
      <c r="Q155">
        <v>53</v>
      </c>
      <c r="R155">
        <v>306</v>
      </c>
      <c r="S155">
        <v>17</v>
      </c>
      <c r="T155" t="s">
        <v>912</v>
      </c>
      <c r="U155">
        <v>1</v>
      </c>
      <c r="V155">
        <v>14</v>
      </c>
      <c r="W155">
        <v>14</v>
      </c>
      <c r="X155">
        <v>1</v>
      </c>
      <c r="Y155">
        <v>4.5751633986928102</v>
      </c>
      <c r="Z155" t="s">
        <v>18</v>
      </c>
      <c r="AA155">
        <v>1</v>
      </c>
    </row>
    <row r="156" spans="1:27">
      <c r="A156" t="s">
        <v>1905</v>
      </c>
      <c r="B156" t="s">
        <v>608</v>
      </c>
      <c r="C156" t="s">
        <v>1957</v>
      </c>
      <c r="D156" t="s">
        <v>1074</v>
      </c>
      <c r="E156" t="s">
        <v>1075</v>
      </c>
      <c r="F156" t="s">
        <v>1076</v>
      </c>
      <c r="G156">
        <v>81</v>
      </c>
      <c r="H156">
        <v>772</v>
      </c>
      <c r="I156">
        <v>25</v>
      </c>
      <c r="J156">
        <v>56882</v>
      </c>
      <c r="K156">
        <v>29</v>
      </c>
      <c r="L156" t="s">
        <v>1079</v>
      </c>
      <c r="M156" t="s">
        <v>25</v>
      </c>
      <c r="N156" t="s">
        <v>1077</v>
      </c>
      <c r="O156" t="s">
        <v>1078</v>
      </c>
      <c r="P156">
        <v>447</v>
      </c>
      <c r="Q156">
        <v>83</v>
      </c>
      <c r="R156">
        <v>749</v>
      </c>
      <c r="S156">
        <v>25</v>
      </c>
      <c r="T156" t="s">
        <v>1078</v>
      </c>
      <c r="U156">
        <v>2</v>
      </c>
      <c r="V156">
        <v>23</v>
      </c>
      <c r="W156">
        <v>23</v>
      </c>
      <c r="X156">
        <v>0</v>
      </c>
      <c r="Y156">
        <v>3.0707610146862478</v>
      </c>
      <c r="Z156" t="s">
        <v>18</v>
      </c>
      <c r="AA156">
        <v>1</v>
      </c>
    </row>
    <row r="157" spans="1:27">
      <c r="A157" t="s">
        <v>1905</v>
      </c>
      <c r="B157" t="s">
        <v>608</v>
      </c>
      <c r="C157" t="s">
        <v>1958</v>
      </c>
      <c r="D157" t="s">
        <v>850</v>
      </c>
      <c r="E157" t="s">
        <v>851</v>
      </c>
      <c r="F157" t="s">
        <v>852</v>
      </c>
      <c r="G157">
        <v>42</v>
      </c>
      <c r="H157">
        <v>1206</v>
      </c>
      <c r="I157">
        <v>40</v>
      </c>
      <c r="J157">
        <v>129107</v>
      </c>
      <c r="K157">
        <v>30</v>
      </c>
      <c r="L157" t="s">
        <v>855</v>
      </c>
      <c r="M157" t="s">
        <v>25</v>
      </c>
      <c r="N157" t="s">
        <v>853</v>
      </c>
      <c r="O157" t="s">
        <v>854</v>
      </c>
      <c r="P157">
        <v>421</v>
      </c>
      <c r="Q157">
        <v>42</v>
      </c>
      <c r="R157">
        <v>1192</v>
      </c>
      <c r="S157">
        <v>39</v>
      </c>
      <c r="T157" t="s">
        <v>854</v>
      </c>
      <c r="U157">
        <v>0</v>
      </c>
      <c r="V157">
        <v>14</v>
      </c>
      <c r="W157">
        <v>14</v>
      </c>
      <c r="X157">
        <v>1</v>
      </c>
      <c r="Y157">
        <v>1.174496644295302</v>
      </c>
      <c r="Z157" t="s">
        <v>18</v>
      </c>
      <c r="AA157">
        <v>1</v>
      </c>
    </row>
    <row r="158" spans="1:27">
      <c r="A158" t="s">
        <v>1905</v>
      </c>
      <c r="B158" t="s">
        <v>608</v>
      </c>
      <c r="C158" t="s">
        <v>1959</v>
      </c>
      <c r="D158" t="s">
        <v>965</v>
      </c>
      <c r="E158" t="s">
        <v>966</v>
      </c>
      <c r="F158" t="s">
        <v>967</v>
      </c>
      <c r="G158">
        <v>62</v>
      </c>
      <c r="H158">
        <v>762</v>
      </c>
      <c r="I158">
        <v>30</v>
      </c>
      <c r="J158">
        <v>106484</v>
      </c>
      <c r="K158">
        <v>28</v>
      </c>
      <c r="L158" t="s">
        <v>970</v>
      </c>
      <c r="M158" t="s">
        <v>25</v>
      </c>
      <c r="N158" t="s">
        <v>968</v>
      </c>
      <c r="O158" t="s">
        <v>969</v>
      </c>
      <c r="P158">
        <v>320</v>
      </c>
      <c r="Q158">
        <v>65</v>
      </c>
      <c r="R158">
        <v>743</v>
      </c>
      <c r="S158">
        <v>29</v>
      </c>
      <c r="T158" t="s">
        <v>969</v>
      </c>
      <c r="U158">
        <v>3</v>
      </c>
      <c r="V158">
        <v>19</v>
      </c>
      <c r="W158">
        <v>19</v>
      </c>
      <c r="X158">
        <v>1</v>
      </c>
      <c r="Y158">
        <v>2.5572005383580079</v>
      </c>
      <c r="Z158" t="s">
        <v>18</v>
      </c>
      <c r="AA158">
        <v>1</v>
      </c>
    </row>
    <row r="159" spans="1:27">
      <c r="A159" t="s">
        <v>1905</v>
      </c>
      <c r="B159" t="s">
        <v>608</v>
      </c>
      <c r="C159" t="s">
        <v>1960</v>
      </c>
      <c r="D159" t="s">
        <v>1166</v>
      </c>
      <c r="E159" t="s">
        <v>1167</v>
      </c>
      <c r="F159" t="s">
        <v>1168</v>
      </c>
      <c r="G159">
        <v>97</v>
      </c>
      <c r="H159">
        <v>222</v>
      </c>
      <c r="I159">
        <v>12</v>
      </c>
      <c r="J159">
        <v>27606</v>
      </c>
      <c r="K159">
        <v>11</v>
      </c>
      <c r="L159" t="s">
        <v>1171</v>
      </c>
      <c r="M159" t="s">
        <v>25</v>
      </c>
      <c r="N159" t="s">
        <v>1169</v>
      </c>
      <c r="O159" t="s">
        <v>1170</v>
      </c>
      <c r="P159">
        <v>246</v>
      </c>
      <c r="T159" t="s">
        <v>1170</v>
      </c>
      <c r="Z159" t="s">
        <v>474</v>
      </c>
      <c r="AA159">
        <v>1</v>
      </c>
    </row>
    <row r="160" spans="1:27">
      <c r="A160" t="s">
        <v>1905</v>
      </c>
      <c r="B160" t="s">
        <v>608</v>
      </c>
      <c r="C160" t="s">
        <v>1961</v>
      </c>
      <c r="D160" t="s">
        <v>673</v>
      </c>
      <c r="E160" t="s">
        <v>674</v>
      </c>
      <c r="F160" t="s">
        <v>675</v>
      </c>
      <c r="G160">
        <v>12</v>
      </c>
      <c r="H160">
        <v>2610</v>
      </c>
      <c r="I160">
        <v>61</v>
      </c>
      <c r="J160">
        <v>201762</v>
      </c>
      <c r="K160">
        <v>29</v>
      </c>
      <c r="L160" t="s">
        <v>678</v>
      </c>
      <c r="M160" t="s">
        <v>25</v>
      </c>
      <c r="N160" t="s">
        <v>676</v>
      </c>
      <c r="O160" t="s">
        <v>677</v>
      </c>
      <c r="P160">
        <v>296</v>
      </c>
      <c r="Q160">
        <v>10</v>
      </c>
      <c r="R160">
        <v>2529</v>
      </c>
      <c r="S160">
        <v>59</v>
      </c>
      <c r="T160" t="s">
        <v>677</v>
      </c>
      <c r="U160">
        <v>-2</v>
      </c>
      <c r="V160">
        <v>81</v>
      </c>
      <c r="W160">
        <v>81</v>
      </c>
      <c r="X160">
        <v>2</v>
      </c>
      <c r="Y160">
        <v>3.2028469750889679</v>
      </c>
      <c r="Z160" t="s">
        <v>18</v>
      </c>
      <c r="AA160">
        <v>1</v>
      </c>
    </row>
    <row r="161" spans="1:27">
      <c r="A161" t="s">
        <v>1905</v>
      </c>
      <c r="B161" t="s">
        <v>608</v>
      </c>
      <c r="C161" t="s">
        <v>1962</v>
      </c>
      <c r="D161" t="s">
        <v>944</v>
      </c>
      <c r="E161" t="s">
        <v>763</v>
      </c>
      <c r="F161" t="s">
        <v>945</v>
      </c>
      <c r="G161">
        <v>58</v>
      </c>
      <c r="H161">
        <v>762</v>
      </c>
      <c r="I161">
        <v>41</v>
      </c>
      <c r="J161">
        <v>89347</v>
      </c>
      <c r="K161">
        <v>20</v>
      </c>
      <c r="L161" t="s">
        <v>948</v>
      </c>
      <c r="M161" t="s">
        <v>25</v>
      </c>
      <c r="N161" t="s">
        <v>946</v>
      </c>
      <c r="O161" t="s">
        <v>947</v>
      </c>
      <c r="P161">
        <v>283</v>
      </c>
      <c r="Q161">
        <v>55</v>
      </c>
      <c r="R161">
        <v>759</v>
      </c>
      <c r="S161">
        <v>41</v>
      </c>
      <c r="T161" t="s">
        <v>947</v>
      </c>
      <c r="U161">
        <v>-3</v>
      </c>
      <c r="V161">
        <v>3</v>
      </c>
      <c r="W161">
        <v>3</v>
      </c>
      <c r="X161">
        <v>0</v>
      </c>
      <c r="Y161">
        <v>0.39525691699604742</v>
      </c>
      <c r="Z161" t="s">
        <v>18</v>
      </c>
      <c r="AA161">
        <v>1</v>
      </c>
    </row>
    <row r="162" spans="1:27">
      <c r="A162" t="s">
        <v>1905</v>
      </c>
      <c r="B162" t="s">
        <v>608</v>
      </c>
      <c r="C162" t="s">
        <v>1963</v>
      </c>
      <c r="D162" t="s">
        <v>995</v>
      </c>
      <c r="E162" t="s">
        <v>996</v>
      </c>
      <c r="F162" t="s">
        <v>997</v>
      </c>
      <c r="G162">
        <v>67</v>
      </c>
      <c r="H162">
        <v>479</v>
      </c>
      <c r="I162">
        <v>10</v>
      </c>
      <c r="J162">
        <v>28919</v>
      </c>
      <c r="K162">
        <v>13</v>
      </c>
      <c r="L162" t="s">
        <v>1000</v>
      </c>
      <c r="M162" t="s">
        <v>25</v>
      </c>
      <c r="N162" t="s">
        <v>998</v>
      </c>
      <c r="O162" t="s">
        <v>999</v>
      </c>
      <c r="P162">
        <v>209</v>
      </c>
      <c r="Q162">
        <v>63</v>
      </c>
      <c r="R162">
        <v>462</v>
      </c>
      <c r="S162">
        <v>10</v>
      </c>
      <c r="T162" t="s">
        <v>999</v>
      </c>
      <c r="U162">
        <v>-4</v>
      </c>
      <c r="V162">
        <v>17</v>
      </c>
      <c r="W162">
        <v>17</v>
      </c>
      <c r="X162">
        <v>0</v>
      </c>
      <c r="Y162">
        <v>3.6796536796536801</v>
      </c>
      <c r="Z162" t="s">
        <v>18</v>
      </c>
      <c r="AA162">
        <v>1</v>
      </c>
    </row>
    <row r="163" spans="1:27">
      <c r="A163" t="s">
        <v>1905</v>
      </c>
      <c r="B163" t="s">
        <v>608</v>
      </c>
      <c r="C163" t="s">
        <v>1964</v>
      </c>
      <c r="D163" t="s">
        <v>827</v>
      </c>
      <c r="E163" t="s">
        <v>751</v>
      </c>
      <c r="F163" t="s">
        <v>828</v>
      </c>
      <c r="G163">
        <v>38</v>
      </c>
      <c r="H163">
        <v>1516</v>
      </c>
      <c r="I163">
        <v>41</v>
      </c>
      <c r="J163">
        <v>120971</v>
      </c>
      <c r="K163">
        <v>27</v>
      </c>
      <c r="L163" t="s">
        <v>831</v>
      </c>
      <c r="M163" t="s">
        <v>25</v>
      </c>
      <c r="N163" t="s">
        <v>829</v>
      </c>
      <c r="O163" t="s">
        <v>830</v>
      </c>
      <c r="P163">
        <v>471</v>
      </c>
      <c r="Q163">
        <v>39</v>
      </c>
      <c r="R163">
        <v>1478</v>
      </c>
      <c r="S163">
        <v>41</v>
      </c>
      <c r="T163" t="s">
        <v>830</v>
      </c>
      <c r="U163">
        <v>1</v>
      </c>
      <c r="V163">
        <v>38</v>
      </c>
      <c r="W163">
        <v>38</v>
      </c>
      <c r="X163">
        <v>0</v>
      </c>
      <c r="Y163">
        <v>2.5710419485791611</v>
      </c>
      <c r="Z163" t="s">
        <v>18</v>
      </c>
      <c r="AA163">
        <v>1</v>
      </c>
    </row>
    <row r="164" spans="1:27">
      <c r="A164" t="s">
        <v>1905</v>
      </c>
      <c r="B164" t="s">
        <v>608</v>
      </c>
      <c r="C164" t="s">
        <v>1965</v>
      </c>
      <c r="D164" t="s">
        <v>838</v>
      </c>
      <c r="E164" t="s">
        <v>839</v>
      </c>
      <c r="F164" t="s">
        <v>840</v>
      </c>
      <c r="G164">
        <v>40</v>
      </c>
      <c r="H164">
        <v>910</v>
      </c>
      <c r="I164">
        <v>27</v>
      </c>
      <c r="J164">
        <v>101256</v>
      </c>
      <c r="K164">
        <v>26</v>
      </c>
      <c r="L164" t="s">
        <v>843</v>
      </c>
      <c r="M164" t="s">
        <v>25</v>
      </c>
      <c r="N164" t="s">
        <v>841</v>
      </c>
      <c r="O164" t="s">
        <v>842</v>
      </c>
      <c r="P164">
        <v>203</v>
      </c>
      <c r="Q164">
        <v>41</v>
      </c>
      <c r="R164">
        <v>854</v>
      </c>
      <c r="S164">
        <v>26</v>
      </c>
      <c r="T164" t="s">
        <v>842</v>
      </c>
      <c r="U164">
        <v>1</v>
      </c>
      <c r="V164">
        <v>56</v>
      </c>
      <c r="W164">
        <v>56</v>
      </c>
      <c r="X164">
        <v>1</v>
      </c>
      <c r="Y164">
        <v>6.557377049180328</v>
      </c>
      <c r="Z164" t="s">
        <v>18</v>
      </c>
      <c r="AA164">
        <v>1</v>
      </c>
    </row>
    <row r="165" spans="1:27">
      <c r="A165" t="s">
        <v>1905</v>
      </c>
      <c r="B165" t="s">
        <v>608</v>
      </c>
      <c r="C165" t="s">
        <v>1966</v>
      </c>
      <c r="D165" t="s">
        <v>983</v>
      </c>
      <c r="E165" t="s">
        <v>984</v>
      </c>
      <c r="F165" t="s">
        <v>985</v>
      </c>
      <c r="G165">
        <v>65</v>
      </c>
      <c r="H165">
        <v>622</v>
      </c>
      <c r="I165">
        <v>28</v>
      </c>
      <c r="J165">
        <v>81294</v>
      </c>
      <c r="K165">
        <v>26</v>
      </c>
      <c r="L165" t="s">
        <v>988</v>
      </c>
      <c r="M165" t="s">
        <v>25</v>
      </c>
      <c r="N165" t="s">
        <v>986</v>
      </c>
      <c r="O165" t="s">
        <v>987</v>
      </c>
      <c r="P165">
        <v>222</v>
      </c>
      <c r="Q165">
        <v>74</v>
      </c>
      <c r="R165">
        <v>584</v>
      </c>
      <c r="S165">
        <v>28</v>
      </c>
      <c r="T165" t="s">
        <v>987</v>
      </c>
      <c r="U165">
        <v>9</v>
      </c>
      <c r="V165">
        <v>38</v>
      </c>
      <c r="W165">
        <v>38</v>
      </c>
      <c r="X165">
        <v>0</v>
      </c>
      <c r="Y165">
        <v>6.506849315068493</v>
      </c>
      <c r="Z165" t="s">
        <v>18</v>
      </c>
      <c r="AA165">
        <v>1</v>
      </c>
    </row>
    <row r="166" spans="1:27">
      <c r="A166" t="s">
        <v>1905</v>
      </c>
      <c r="B166" t="s">
        <v>608</v>
      </c>
      <c r="C166" t="s">
        <v>1967</v>
      </c>
      <c r="D166" t="s">
        <v>1148</v>
      </c>
      <c r="E166" t="s">
        <v>1149</v>
      </c>
      <c r="F166" t="s">
        <v>1150</v>
      </c>
      <c r="G166">
        <v>94</v>
      </c>
      <c r="H166">
        <v>617</v>
      </c>
      <c r="I166">
        <v>31</v>
      </c>
      <c r="J166">
        <v>79475</v>
      </c>
      <c r="K166">
        <v>27</v>
      </c>
      <c r="L166" t="s">
        <v>1153</v>
      </c>
      <c r="M166" t="s">
        <v>25</v>
      </c>
      <c r="N166" t="s">
        <v>1151</v>
      </c>
      <c r="O166" t="s">
        <v>1152</v>
      </c>
      <c r="P166">
        <v>166</v>
      </c>
      <c r="Q166">
        <v>97</v>
      </c>
      <c r="R166">
        <v>594</v>
      </c>
      <c r="S166">
        <v>30</v>
      </c>
      <c r="T166" t="s">
        <v>1152</v>
      </c>
      <c r="U166">
        <v>3</v>
      </c>
      <c r="V166">
        <v>23</v>
      </c>
      <c r="W166">
        <v>23</v>
      </c>
      <c r="X166">
        <v>1</v>
      </c>
      <c r="Y166">
        <v>3.872053872053872</v>
      </c>
      <c r="Z166" t="s">
        <v>18</v>
      </c>
      <c r="AA166">
        <v>1</v>
      </c>
    </row>
    <row r="167" spans="1:27">
      <c r="A167" t="s">
        <v>1905</v>
      </c>
      <c r="C167" t="s">
        <v>1222</v>
      </c>
      <c r="D167" t="s">
        <v>1201</v>
      </c>
      <c r="E167" t="s">
        <v>1202</v>
      </c>
      <c r="N167" t="s">
        <v>1203</v>
      </c>
      <c r="O167" t="s">
        <v>1204</v>
      </c>
      <c r="Q167">
        <v>99</v>
      </c>
      <c r="R167">
        <v>327</v>
      </c>
      <c r="S167">
        <v>25</v>
      </c>
      <c r="T167" t="s">
        <v>1204</v>
      </c>
      <c r="Z167" t="s">
        <v>1189</v>
      </c>
      <c r="AA167">
        <v>1</v>
      </c>
    </row>
    <row r="168" spans="1:27">
      <c r="A168" t="s">
        <v>1905</v>
      </c>
      <c r="B168" t="s">
        <v>608</v>
      </c>
      <c r="C168" t="s">
        <v>1968</v>
      </c>
      <c r="D168" t="s">
        <v>679</v>
      </c>
      <c r="E168" t="s">
        <v>680</v>
      </c>
      <c r="F168" t="s">
        <v>681</v>
      </c>
      <c r="G168">
        <v>13</v>
      </c>
      <c r="H168">
        <v>1278</v>
      </c>
      <c r="I168">
        <v>10</v>
      </c>
      <c r="J168">
        <v>44764</v>
      </c>
      <c r="K168">
        <v>9</v>
      </c>
      <c r="L168" t="s">
        <v>684</v>
      </c>
      <c r="M168" t="s">
        <v>25</v>
      </c>
      <c r="N168" t="s">
        <v>682</v>
      </c>
      <c r="O168" t="s">
        <v>683</v>
      </c>
      <c r="P168">
        <v>532</v>
      </c>
      <c r="Q168">
        <v>11</v>
      </c>
      <c r="R168">
        <v>1212</v>
      </c>
      <c r="S168">
        <v>10</v>
      </c>
      <c r="T168" t="s">
        <v>683</v>
      </c>
      <c r="U168">
        <v>-2</v>
      </c>
      <c r="V168">
        <v>66</v>
      </c>
      <c r="W168">
        <v>66</v>
      </c>
      <c r="X168">
        <v>0</v>
      </c>
      <c r="Y168">
        <v>5.4455445544554459</v>
      </c>
      <c r="Z168" t="s">
        <v>18</v>
      </c>
      <c r="AA168">
        <v>1</v>
      </c>
    </row>
    <row r="169" spans="1:27">
      <c r="A169" t="s">
        <v>1905</v>
      </c>
      <c r="B169" t="s">
        <v>608</v>
      </c>
      <c r="C169" t="s">
        <v>1969</v>
      </c>
      <c r="D169" t="s">
        <v>798</v>
      </c>
      <c r="E169" t="s">
        <v>799</v>
      </c>
      <c r="F169" t="s">
        <v>800</v>
      </c>
      <c r="G169">
        <v>33</v>
      </c>
      <c r="H169">
        <v>1541</v>
      </c>
      <c r="I169">
        <v>28</v>
      </c>
      <c r="J169">
        <v>83591</v>
      </c>
      <c r="K169">
        <v>26</v>
      </c>
      <c r="L169" t="s">
        <v>803</v>
      </c>
      <c r="M169" t="s">
        <v>25</v>
      </c>
      <c r="N169" t="s">
        <v>801</v>
      </c>
      <c r="O169" t="s">
        <v>802</v>
      </c>
      <c r="P169">
        <v>476</v>
      </c>
      <c r="Q169">
        <v>32</v>
      </c>
      <c r="R169">
        <v>1489</v>
      </c>
      <c r="S169">
        <v>27</v>
      </c>
      <c r="T169" t="s">
        <v>802</v>
      </c>
      <c r="U169">
        <v>-1</v>
      </c>
      <c r="V169">
        <v>52</v>
      </c>
      <c r="W169">
        <v>52</v>
      </c>
      <c r="X169">
        <v>1</v>
      </c>
      <c r="Y169">
        <v>3.492276695768973</v>
      </c>
      <c r="Z169" t="s">
        <v>18</v>
      </c>
      <c r="AA169">
        <v>1</v>
      </c>
    </row>
    <row r="170" spans="1:27">
      <c r="A170" t="s">
        <v>1905</v>
      </c>
      <c r="B170" t="s">
        <v>608</v>
      </c>
      <c r="C170" t="s">
        <v>1970</v>
      </c>
      <c r="D170" t="s">
        <v>733</v>
      </c>
      <c r="E170" t="s">
        <v>258</v>
      </c>
      <c r="F170" t="s">
        <v>734</v>
      </c>
      <c r="G170">
        <v>22</v>
      </c>
      <c r="H170">
        <v>2550</v>
      </c>
      <c r="I170">
        <v>36</v>
      </c>
      <c r="J170">
        <v>76676</v>
      </c>
      <c r="K170">
        <v>27</v>
      </c>
      <c r="L170" t="s">
        <v>737</v>
      </c>
      <c r="M170" t="s">
        <v>25</v>
      </c>
      <c r="N170" t="s">
        <v>735</v>
      </c>
      <c r="O170" t="s">
        <v>736</v>
      </c>
      <c r="P170">
        <v>463</v>
      </c>
      <c r="Q170">
        <v>21</v>
      </c>
      <c r="R170">
        <v>2514</v>
      </c>
      <c r="S170">
        <v>35</v>
      </c>
      <c r="T170" t="s">
        <v>736</v>
      </c>
      <c r="U170">
        <v>-1</v>
      </c>
      <c r="V170">
        <v>36</v>
      </c>
      <c r="W170">
        <v>36</v>
      </c>
      <c r="X170">
        <v>1</v>
      </c>
      <c r="Y170">
        <v>1.431980906921241</v>
      </c>
      <c r="Z170" t="s">
        <v>18</v>
      </c>
      <c r="AA170">
        <v>1</v>
      </c>
    </row>
    <row r="171" spans="1:27">
      <c r="A171" t="s">
        <v>1905</v>
      </c>
      <c r="B171" t="s">
        <v>608</v>
      </c>
      <c r="C171" t="s">
        <v>1971</v>
      </c>
      <c r="D171" t="s">
        <v>632</v>
      </c>
      <c r="E171" t="s">
        <v>633</v>
      </c>
      <c r="F171" t="s">
        <v>634</v>
      </c>
      <c r="G171">
        <v>5</v>
      </c>
      <c r="H171">
        <v>6563</v>
      </c>
      <c r="I171">
        <v>27</v>
      </c>
      <c r="J171">
        <v>70727</v>
      </c>
      <c r="K171">
        <v>26</v>
      </c>
      <c r="L171" t="s">
        <v>637</v>
      </c>
      <c r="M171" t="s">
        <v>25</v>
      </c>
      <c r="N171" t="s">
        <v>635</v>
      </c>
      <c r="O171" t="s">
        <v>636</v>
      </c>
      <c r="P171">
        <v>294</v>
      </c>
      <c r="Q171">
        <v>5</v>
      </c>
      <c r="R171">
        <v>6357</v>
      </c>
      <c r="S171">
        <v>26</v>
      </c>
      <c r="T171" t="s">
        <v>636</v>
      </c>
      <c r="U171">
        <v>0</v>
      </c>
      <c r="V171">
        <v>206</v>
      </c>
      <c r="W171">
        <v>206</v>
      </c>
      <c r="X171">
        <v>1</v>
      </c>
      <c r="Y171">
        <v>3.2405222589271672</v>
      </c>
      <c r="Z171" t="s">
        <v>18</v>
      </c>
      <c r="AA171">
        <v>1</v>
      </c>
    </row>
    <row r="172" spans="1:27">
      <c r="A172" t="s">
        <v>1905</v>
      </c>
      <c r="B172" t="s">
        <v>608</v>
      </c>
      <c r="C172" t="s">
        <v>1972</v>
      </c>
      <c r="D172" t="s">
        <v>1035</v>
      </c>
      <c r="E172" t="s">
        <v>1036</v>
      </c>
      <c r="F172" t="s">
        <v>1037</v>
      </c>
      <c r="G172">
        <v>74</v>
      </c>
      <c r="H172">
        <v>440</v>
      </c>
      <c r="I172">
        <v>28</v>
      </c>
      <c r="J172">
        <v>187556</v>
      </c>
      <c r="K172">
        <v>24</v>
      </c>
      <c r="L172" t="s">
        <v>1040</v>
      </c>
      <c r="M172" t="s">
        <v>25</v>
      </c>
      <c r="N172" t="s">
        <v>1038</v>
      </c>
      <c r="O172" t="s">
        <v>1039</v>
      </c>
      <c r="P172">
        <v>220</v>
      </c>
      <c r="Q172">
        <v>70</v>
      </c>
      <c r="R172">
        <v>424</v>
      </c>
      <c r="S172">
        <v>27</v>
      </c>
      <c r="T172" t="s">
        <v>1039</v>
      </c>
      <c r="U172">
        <v>-4</v>
      </c>
      <c r="V172">
        <v>16</v>
      </c>
      <c r="W172">
        <v>16</v>
      </c>
      <c r="X172">
        <v>1</v>
      </c>
      <c r="Y172">
        <v>3.773584905660377</v>
      </c>
      <c r="Z172" t="s">
        <v>18</v>
      </c>
      <c r="AA172">
        <v>1</v>
      </c>
    </row>
    <row r="173" spans="1:27">
      <c r="A173" t="s">
        <v>1905</v>
      </c>
      <c r="B173" t="s">
        <v>608</v>
      </c>
      <c r="C173" t="s">
        <v>1973</v>
      </c>
      <c r="D173" t="s">
        <v>768</v>
      </c>
      <c r="E173" t="s">
        <v>769</v>
      </c>
      <c r="F173" t="s">
        <v>770</v>
      </c>
      <c r="G173">
        <v>28</v>
      </c>
      <c r="H173">
        <v>1823</v>
      </c>
      <c r="I173">
        <v>117</v>
      </c>
      <c r="J173">
        <v>542752</v>
      </c>
      <c r="K173">
        <v>27</v>
      </c>
      <c r="L173" t="s">
        <v>773</v>
      </c>
      <c r="M173" t="s">
        <v>25</v>
      </c>
      <c r="N173" t="s">
        <v>771</v>
      </c>
      <c r="O173" t="s">
        <v>772</v>
      </c>
      <c r="P173">
        <v>483</v>
      </c>
      <c r="Q173">
        <v>25</v>
      </c>
      <c r="R173">
        <v>1810</v>
      </c>
      <c r="S173">
        <v>114</v>
      </c>
      <c r="T173" t="s">
        <v>772</v>
      </c>
      <c r="U173">
        <v>-3</v>
      </c>
      <c r="V173">
        <v>13</v>
      </c>
      <c r="W173">
        <v>13</v>
      </c>
      <c r="X173">
        <v>3</v>
      </c>
      <c r="Y173">
        <v>0.71823204419889508</v>
      </c>
      <c r="Z173" t="s">
        <v>18</v>
      </c>
      <c r="AA173">
        <v>1</v>
      </c>
    </row>
    <row r="174" spans="1:27">
      <c r="A174" t="s">
        <v>1905</v>
      </c>
      <c r="B174" t="s">
        <v>608</v>
      </c>
      <c r="C174" t="s">
        <v>1974</v>
      </c>
      <c r="D174" t="s">
        <v>627</v>
      </c>
      <c r="E174" t="s">
        <v>628</v>
      </c>
      <c r="F174" t="s">
        <v>629</v>
      </c>
      <c r="G174">
        <v>4</v>
      </c>
      <c r="H174">
        <v>11875</v>
      </c>
      <c r="I174">
        <v>100</v>
      </c>
      <c r="J174">
        <v>214214</v>
      </c>
      <c r="K174">
        <v>24</v>
      </c>
      <c r="L174" t="s">
        <v>631</v>
      </c>
      <c r="M174" t="s">
        <v>25</v>
      </c>
      <c r="N174" t="s">
        <v>627</v>
      </c>
      <c r="O174" t="s">
        <v>630</v>
      </c>
      <c r="P174">
        <v>146</v>
      </c>
      <c r="Q174">
        <v>4</v>
      </c>
      <c r="R174">
        <v>11630</v>
      </c>
      <c r="S174">
        <v>96</v>
      </c>
      <c r="T174" t="s">
        <v>630</v>
      </c>
      <c r="U174">
        <v>0</v>
      </c>
      <c r="V174">
        <v>245</v>
      </c>
      <c r="W174">
        <v>245</v>
      </c>
      <c r="X174">
        <v>4</v>
      </c>
      <c r="Y174">
        <v>2.1066208082545139</v>
      </c>
      <c r="Z174" t="s">
        <v>18</v>
      </c>
      <c r="AA174">
        <v>1</v>
      </c>
    </row>
    <row r="175" spans="1:27">
      <c r="A175" t="s">
        <v>1905</v>
      </c>
      <c r="B175" t="s">
        <v>608</v>
      </c>
      <c r="C175" t="s">
        <v>1975</v>
      </c>
      <c r="D175" t="s">
        <v>609</v>
      </c>
      <c r="E175" t="s">
        <v>610</v>
      </c>
      <c r="F175" t="s">
        <v>611</v>
      </c>
      <c r="G175">
        <v>1</v>
      </c>
      <c r="H175">
        <v>6553</v>
      </c>
      <c r="I175">
        <v>24</v>
      </c>
      <c r="J175">
        <v>124563</v>
      </c>
      <c r="K175">
        <v>23</v>
      </c>
      <c r="L175" t="s">
        <v>614</v>
      </c>
      <c r="M175" t="s">
        <v>25</v>
      </c>
      <c r="N175" t="s">
        <v>612</v>
      </c>
      <c r="O175" t="s">
        <v>613</v>
      </c>
      <c r="P175">
        <v>682</v>
      </c>
      <c r="Q175">
        <v>2</v>
      </c>
      <c r="R175">
        <v>5956</v>
      </c>
      <c r="S175">
        <v>23</v>
      </c>
      <c r="T175" t="s">
        <v>613</v>
      </c>
      <c r="U175">
        <v>1</v>
      </c>
      <c r="V175">
        <v>597</v>
      </c>
      <c r="W175">
        <v>597</v>
      </c>
      <c r="X175">
        <v>1</v>
      </c>
      <c r="Y175">
        <v>10.023505708529211</v>
      </c>
      <c r="Z175" t="s">
        <v>18</v>
      </c>
      <c r="AA175">
        <v>1</v>
      </c>
    </row>
    <row r="176" spans="1:27">
      <c r="A176" t="s">
        <v>1905</v>
      </c>
      <c r="B176" t="s">
        <v>608</v>
      </c>
      <c r="C176" t="s">
        <v>1976</v>
      </c>
      <c r="D176" t="s">
        <v>949</v>
      </c>
      <c r="E176" t="s">
        <v>567</v>
      </c>
      <c r="F176" t="s">
        <v>950</v>
      </c>
      <c r="G176">
        <v>59</v>
      </c>
      <c r="H176">
        <v>321</v>
      </c>
      <c r="I176">
        <v>24</v>
      </c>
      <c r="J176">
        <v>154520</v>
      </c>
      <c r="K176">
        <v>23</v>
      </c>
      <c r="L176" t="s">
        <v>953</v>
      </c>
      <c r="M176" t="s">
        <v>25</v>
      </c>
      <c r="N176" t="s">
        <v>951</v>
      </c>
      <c r="O176" t="s">
        <v>952</v>
      </c>
      <c r="P176">
        <v>812</v>
      </c>
      <c r="Q176">
        <v>61</v>
      </c>
      <c r="R176">
        <v>304</v>
      </c>
      <c r="S176">
        <v>23</v>
      </c>
      <c r="T176" t="s">
        <v>952</v>
      </c>
      <c r="U176">
        <v>2</v>
      </c>
      <c r="V176">
        <v>17</v>
      </c>
      <c r="W176">
        <v>17</v>
      </c>
      <c r="X176">
        <v>1</v>
      </c>
      <c r="Y176">
        <v>5.5921052631578947</v>
      </c>
      <c r="Z176" t="s">
        <v>18</v>
      </c>
      <c r="AA176">
        <v>1</v>
      </c>
    </row>
    <row r="177" spans="1:27">
      <c r="A177" t="s">
        <v>1905</v>
      </c>
      <c r="B177" t="s">
        <v>608</v>
      </c>
      <c r="C177" t="s">
        <v>1977</v>
      </c>
      <c r="D177" t="s">
        <v>744</v>
      </c>
      <c r="E177" t="s">
        <v>745</v>
      </c>
      <c r="F177" t="s">
        <v>746</v>
      </c>
      <c r="G177">
        <v>24</v>
      </c>
      <c r="H177">
        <v>1117</v>
      </c>
      <c r="I177">
        <v>26</v>
      </c>
      <c r="J177">
        <v>71311</v>
      </c>
      <c r="K177">
        <v>23</v>
      </c>
      <c r="L177" t="s">
        <v>749</v>
      </c>
      <c r="M177" t="s">
        <v>25</v>
      </c>
      <c r="N177" t="s">
        <v>747</v>
      </c>
      <c r="O177" t="s">
        <v>748</v>
      </c>
      <c r="P177">
        <v>399</v>
      </c>
      <c r="Q177">
        <v>26</v>
      </c>
      <c r="R177">
        <v>1055</v>
      </c>
      <c r="S177">
        <v>25</v>
      </c>
      <c r="T177" t="s">
        <v>748</v>
      </c>
      <c r="U177">
        <v>2</v>
      </c>
      <c r="V177">
        <v>62</v>
      </c>
      <c r="W177">
        <v>62</v>
      </c>
      <c r="X177">
        <v>1</v>
      </c>
      <c r="Y177">
        <v>5.8767772511848344</v>
      </c>
      <c r="Z177" t="s">
        <v>18</v>
      </c>
      <c r="AA177">
        <v>1</v>
      </c>
    </row>
    <row r="178" spans="1:27">
      <c r="A178" t="s">
        <v>1905</v>
      </c>
      <c r="B178" t="s">
        <v>608</v>
      </c>
      <c r="C178" t="s">
        <v>1978</v>
      </c>
      <c r="D178" t="s">
        <v>914</v>
      </c>
      <c r="E178" t="s">
        <v>915</v>
      </c>
      <c r="F178" t="s">
        <v>916</v>
      </c>
      <c r="G178">
        <v>53</v>
      </c>
      <c r="H178">
        <v>497</v>
      </c>
      <c r="I178">
        <v>30</v>
      </c>
      <c r="J178">
        <v>116029</v>
      </c>
      <c r="K178">
        <v>22</v>
      </c>
      <c r="L178" t="s">
        <v>919</v>
      </c>
      <c r="M178" t="s">
        <v>25</v>
      </c>
      <c r="N178" t="s">
        <v>917</v>
      </c>
      <c r="O178" t="s">
        <v>918</v>
      </c>
      <c r="P178">
        <v>533</v>
      </c>
      <c r="Q178">
        <v>57</v>
      </c>
      <c r="R178">
        <v>468</v>
      </c>
      <c r="S178">
        <v>29</v>
      </c>
      <c r="T178" t="s">
        <v>918</v>
      </c>
      <c r="U178">
        <v>4</v>
      </c>
      <c r="V178">
        <v>29</v>
      </c>
      <c r="W178">
        <v>29</v>
      </c>
      <c r="X178">
        <v>1</v>
      </c>
      <c r="Y178">
        <v>6.1965811965811968</v>
      </c>
      <c r="Z178" t="s">
        <v>18</v>
      </c>
      <c r="AA178">
        <v>1</v>
      </c>
    </row>
    <row r="179" spans="1:27">
      <c r="A179" t="s">
        <v>1905</v>
      </c>
      <c r="B179" t="s">
        <v>608</v>
      </c>
      <c r="C179" t="s">
        <v>1979</v>
      </c>
      <c r="D179" t="s">
        <v>661</v>
      </c>
      <c r="E179" t="s">
        <v>662</v>
      </c>
      <c r="F179" t="s">
        <v>663</v>
      </c>
      <c r="G179">
        <v>10</v>
      </c>
      <c r="H179">
        <v>923</v>
      </c>
      <c r="I179">
        <v>18</v>
      </c>
      <c r="J179">
        <v>74642</v>
      </c>
      <c r="K179">
        <v>4</v>
      </c>
      <c r="L179" t="s">
        <v>666</v>
      </c>
      <c r="M179" t="s">
        <v>25</v>
      </c>
      <c r="N179" t="s">
        <v>664</v>
      </c>
      <c r="O179" t="s">
        <v>665</v>
      </c>
      <c r="P179">
        <v>714</v>
      </c>
      <c r="Q179">
        <v>13</v>
      </c>
      <c r="R179">
        <v>707</v>
      </c>
      <c r="S179">
        <v>16</v>
      </c>
      <c r="T179" t="s">
        <v>665</v>
      </c>
      <c r="U179">
        <v>3</v>
      </c>
      <c r="V179">
        <v>216</v>
      </c>
      <c r="W179">
        <v>216</v>
      </c>
      <c r="X179">
        <v>2</v>
      </c>
      <c r="Y179">
        <v>30.551626591230551</v>
      </c>
      <c r="Z179" t="s">
        <v>18</v>
      </c>
      <c r="AA179">
        <v>1</v>
      </c>
    </row>
    <row r="180" spans="1:27">
      <c r="A180" t="s">
        <v>1905</v>
      </c>
      <c r="B180" t="s">
        <v>608</v>
      </c>
      <c r="C180" t="s">
        <v>1980</v>
      </c>
      <c r="D180" t="s">
        <v>715</v>
      </c>
      <c r="E180" t="s">
        <v>716</v>
      </c>
      <c r="F180" t="s">
        <v>717</v>
      </c>
      <c r="G180">
        <v>19</v>
      </c>
      <c r="H180">
        <v>1532</v>
      </c>
      <c r="I180">
        <v>20</v>
      </c>
      <c r="J180">
        <v>52331</v>
      </c>
      <c r="K180">
        <v>19</v>
      </c>
      <c r="L180" t="s">
        <v>720</v>
      </c>
      <c r="M180" t="s">
        <v>25</v>
      </c>
      <c r="N180" t="s">
        <v>718</v>
      </c>
      <c r="O180" t="s">
        <v>719</v>
      </c>
      <c r="P180">
        <v>496</v>
      </c>
      <c r="Q180">
        <v>18</v>
      </c>
      <c r="R180">
        <v>1473</v>
      </c>
      <c r="S180">
        <v>19</v>
      </c>
      <c r="T180" t="s">
        <v>719</v>
      </c>
      <c r="U180">
        <v>-1</v>
      </c>
      <c r="V180">
        <v>59</v>
      </c>
      <c r="W180">
        <v>59</v>
      </c>
      <c r="X180">
        <v>1</v>
      </c>
      <c r="Y180">
        <v>4.0054310930074681</v>
      </c>
      <c r="Z180" t="s">
        <v>18</v>
      </c>
      <c r="AA180">
        <v>1</v>
      </c>
    </row>
    <row r="181" spans="1:27">
      <c r="A181" t="s">
        <v>1905</v>
      </c>
      <c r="B181" t="s">
        <v>608</v>
      </c>
      <c r="C181" t="s">
        <v>1981</v>
      </c>
      <c r="D181" t="s">
        <v>644</v>
      </c>
      <c r="E181" t="s">
        <v>27</v>
      </c>
      <c r="F181" t="s">
        <v>645</v>
      </c>
      <c r="G181">
        <v>7</v>
      </c>
      <c r="H181">
        <v>1702</v>
      </c>
      <c r="I181">
        <v>37</v>
      </c>
      <c r="J181">
        <v>227116</v>
      </c>
      <c r="K181">
        <v>19</v>
      </c>
      <c r="L181" t="s">
        <v>648</v>
      </c>
      <c r="M181" t="s">
        <v>25</v>
      </c>
      <c r="N181" t="s">
        <v>646</v>
      </c>
      <c r="O181" t="s">
        <v>647</v>
      </c>
      <c r="P181">
        <v>657</v>
      </c>
      <c r="Q181">
        <v>7</v>
      </c>
      <c r="R181">
        <v>1504</v>
      </c>
      <c r="S181">
        <v>36</v>
      </c>
      <c r="T181" t="s">
        <v>647</v>
      </c>
      <c r="U181">
        <v>0</v>
      </c>
      <c r="V181">
        <v>198</v>
      </c>
      <c r="W181">
        <v>198</v>
      </c>
      <c r="X181">
        <v>1</v>
      </c>
      <c r="Y181">
        <v>13.16489361702128</v>
      </c>
      <c r="Z181" t="s">
        <v>18</v>
      </c>
      <c r="AA181">
        <v>1</v>
      </c>
    </row>
    <row r="182" spans="1:27">
      <c r="A182" t="s">
        <v>1905</v>
      </c>
      <c r="B182" t="s">
        <v>608</v>
      </c>
      <c r="C182" t="s">
        <v>1982</v>
      </c>
      <c r="D182" t="s">
        <v>615</v>
      </c>
      <c r="E182" t="s">
        <v>616</v>
      </c>
      <c r="F182" t="s">
        <v>617</v>
      </c>
      <c r="G182">
        <v>2</v>
      </c>
      <c r="H182">
        <v>3511</v>
      </c>
      <c r="I182">
        <v>89</v>
      </c>
      <c r="J182">
        <v>81258</v>
      </c>
      <c r="K182">
        <v>18</v>
      </c>
      <c r="L182" t="s">
        <v>620</v>
      </c>
      <c r="M182" t="s">
        <v>25</v>
      </c>
      <c r="N182" t="s">
        <v>618</v>
      </c>
      <c r="O182" t="s">
        <v>619</v>
      </c>
      <c r="P182">
        <v>1137</v>
      </c>
      <c r="Q182">
        <v>3</v>
      </c>
      <c r="R182">
        <v>3151</v>
      </c>
      <c r="S182">
        <v>87</v>
      </c>
      <c r="T182" t="s">
        <v>619</v>
      </c>
      <c r="U182">
        <v>1</v>
      </c>
      <c r="V182">
        <v>360</v>
      </c>
      <c r="W182">
        <v>360</v>
      </c>
      <c r="X182">
        <v>2</v>
      </c>
      <c r="Y182">
        <v>11.42494446207553</v>
      </c>
      <c r="Z182" t="s">
        <v>18</v>
      </c>
      <c r="AA182">
        <v>1</v>
      </c>
    </row>
    <row r="183" spans="1:27">
      <c r="A183" t="s">
        <v>1905</v>
      </c>
      <c r="B183" t="s">
        <v>608</v>
      </c>
      <c r="C183" t="s">
        <v>1983</v>
      </c>
      <c r="D183" t="s">
        <v>804</v>
      </c>
      <c r="E183" t="s">
        <v>674</v>
      </c>
      <c r="F183" t="s">
        <v>805</v>
      </c>
      <c r="G183">
        <v>34</v>
      </c>
      <c r="H183">
        <v>888</v>
      </c>
      <c r="I183">
        <v>36</v>
      </c>
      <c r="J183">
        <v>110017</v>
      </c>
      <c r="K183">
        <v>18</v>
      </c>
      <c r="L183" t="s">
        <v>808</v>
      </c>
      <c r="M183" t="s">
        <v>25</v>
      </c>
      <c r="N183" t="s">
        <v>806</v>
      </c>
      <c r="O183" t="s">
        <v>807</v>
      </c>
      <c r="P183">
        <v>162</v>
      </c>
      <c r="Q183">
        <v>34</v>
      </c>
      <c r="R183">
        <v>849</v>
      </c>
      <c r="S183">
        <v>35</v>
      </c>
      <c r="T183" t="s">
        <v>807</v>
      </c>
      <c r="U183">
        <v>0</v>
      </c>
      <c r="V183">
        <v>39</v>
      </c>
      <c r="W183">
        <v>39</v>
      </c>
      <c r="X183">
        <v>1</v>
      </c>
      <c r="Y183">
        <v>4.5936395759717312</v>
      </c>
      <c r="Z183" t="s">
        <v>18</v>
      </c>
      <c r="AA183">
        <v>1</v>
      </c>
    </row>
    <row r="184" spans="1:27">
      <c r="A184" t="s">
        <v>1905</v>
      </c>
      <c r="C184" t="s">
        <v>1223</v>
      </c>
      <c r="D184" t="s">
        <v>1205</v>
      </c>
      <c r="E184" t="s">
        <v>428</v>
      </c>
      <c r="N184" t="s">
        <v>1206</v>
      </c>
      <c r="O184" t="s">
        <v>1207</v>
      </c>
      <c r="Q184">
        <v>100</v>
      </c>
      <c r="R184">
        <v>270</v>
      </c>
      <c r="S184">
        <v>18</v>
      </c>
      <c r="T184" t="s">
        <v>1207</v>
      </c>
      <c r="Z184" t="s">
        <v>1189</v>
      </c>
      <c r="AA184">
        <v>1</v>
      </c>
    </row>
    <row r="185" spans="1:27">
      <c r="A185" t="s">
        <v>1905</v>
      </c>
      <c r="B185" t="s">
        <v>608</v>
      </c>
      <c r="C185" t="s">
        <v>1984</v>
      </c>
      <c r="D185" t="s">
        <v>1041</v>
      </c>
      <c r="E185" t="s">
        <v>1042</v>
      </c>
      <c r="F185" t="s">
        <v>1043</v>
      </c>
      <c r="G185">
        <v>75</v>
      </c>
      <c r="H185">
        <v>455</v>
      </c>
      <c r="I185">
        <v>20</v>
      </c>
      <c r="J185">
        <v>49382</v>
      </c>
      <c r="K185">
        <v>18</v>
      </c>
      <c r="L185" t="s">
        <v>1046</v>
      </c>
      <c r="M185" t="s">
        <v>25</v>
      </c>
      <c r="N185" t="s">
        <v>1044</v>
      </c>
      <c r="O185" t="s">
        <v>1045</v>
      </c>
      <c r="P185">
        <v>503</v>
      </c>
      <c r="Q185">
        <v>76</v>
      </c>
      <c r="R185">
        <v>420</v>
      </c>
      <c r="S185">
        <v>19</v>
      </c>
      <c r="T185" t="s">
        <v>1045</v>
      </c>
      <c r="U185">
        <v>1</v>
      </c>
      <c r="V185">
        <v>35</v>
      </c>
      <c r="W185">
        <v>35</v>
      </c>
      <c r="X185">
        <v>1</v>
      </c>
      <c r="Y185">
        <v>8.3333333333333321</v>
      </c>
      <c r="Z185" t="s">
        <v>18</v>
      </c>
      <c r="AA185">
        <v>1</v>
      </c>
    </row>
    <row r="186" spans="1:27">
      <c r="A186" t="s">
        <v>1905</v>
      </c>
      <c r="B186" t="s">
        <v>608</v>
      </c>
      <c r="C186" t="s">
        <v>1985</v>
      </c>
      <c r="D186" t="s">
        <v>1142</v>
      </c>
      <c r="E186" t="s">
        <v>1143</v>
      </c>
      <c r="F186" t="s">
        <v>1144</v>
      </c>
      <c r="G186">
        <v>93</v>
      </c>
      <c r="H186">
        <v>282</v>
      </c>
      <c r="I186">
        <v>20</v>
      </c>
      <c r="J186">
        <v>78988</v>
      </c>
      <c r="K186">
        <v>17</v>
      </c>
      <c r="L186" t="s">
        <v>1147</v>
      </c>
      <c r="M186" t="s">
        <v>25</v>
      </c>
      <c r="N186" t="s">
        <v>1145</v>
      </c>
      <c r="O186" t="s">
        <v>1146</v>
      </c>
      <c r="P186">
        <v>418</v>
      </c>
      <c r="Q186">
        <v>79</v>
      </c>
      <c r="R186">
        <v>276</v>
      </c>
      <c r="S186">
        <v>19</v>
      </c>
      <c r="T186" t="s">
        <v>1146</v>
      </c>
      <c r="U186">
        <v>-14</v>
      </c>
      <c r="V186">
        <v>6</v>
      </c>
      <c r="W186">
        <v>6</v>
      </c>
      <c r="X186">
        <v>1</v>
      </c>
      <c r="Y186">
        <v>2.1739130434782612</v>
      </c>
      <c r="Z186" t="s">
        <v>18</v>
      </c>
      <c r="AA186">
        <v>1</v>
      </c>
    </row>
    <row r="187" spans="1:27">
      <c r="A187" t="s">
        <v>1905</v>
      </c>
      <c r="B187" t="s">
        <v>608</v>
      </c>
      <c r="C187" t="s">
        <v>1986</v>
      </c>
      <c r="D187" t="s">
        <v>667</v>
      </c>
      <c r="E187" t="s">
        <v>668</v>
      </c>
      <c r="F187" t="s">
        <v>669</v>
      </c>
      <c r="G187">
        <v>11</v>
      </c>
      <c r="H187">
        <v>1639</v>
      </c>
      <c r="I187">
        <v>18</v>
      </c>
      <c r="J187">
        <v>54739</v>
      </c>
      <c r="K187">
        <v>17</v>
      </c>
      <c r="L187" t="s">
        <v>672</v>
      </c>
      <c r="M187" t="s">
        <v>25</v>
      </c>
      <c r="N187" t="s">
        <v>670</v>
      </c>
      <c r="O187" t="s">
        <v>671</v>
      </c>
      <c r="P187">
        <v>455</v>
      </c>
      <c r="Q187">
        <v>12</v>
      </c>
      <c r="R187">
        <v>1421</v>
      </c>
      <c r="S187">
        <v>17</v>
      </c>
      <c r="T187" t="s">
        <v>671</v>
      </c>
      <c r="U187">
        <v>1</v>
      </c>
      <c r="V187">
        <v>218</v>
      </c>
      <c r="W187">
        <v>218</v>
      </c>
      <c r="X187">
        <v>1</v>
      </c>
      <c r="Y187">
        <v>15.34130893736805</v>
      </c>
      <c r="Z187" t="s">
        <v>18</v>
      </c>
      <c r="AA187">
        <v>1</v>
      </c>
    </row>
    <row r="188" spans="1:27">
      <c r="A188" t="s">
        <v>1905</v>
      </c>
      <c r="B188" t="s">
        <v>608</v>
      </c>
      <c r="C188" t="s">
        <v>1987</v>
      </c>
      <c r="D188" t="s">
        <v>932</v>
      </c>
      <c r="E188" t="s">
        <v>933</v>
      </c>
      <c r="F188" t="s">
        <v>934</v>
      </c>
      <c r="G188">
        <v>56</v>
      </c>
      <c r="H188">
        <v>439</v>
      </c>
      <c r="I188">
        <v>22</v>
      </c>
      <c r="J188">
        <v>77975</v>
      </c>
      <c r="K188">
        <v>17</v>
      </c>
      <c r="L188" t="s">
        <v>937</v>
      </c>
      <c r="M188" t="s">
        <v>25</v>
      </c>
      <c r="N188" t="s">
        <v>935</v>
      </c>
      <c r="O188" t="s">
        <v>936</v>
      </c>
      <c r="P188">
        <v>297</v>
      </c>
      <c r="Q188">
        <v>58</v>
      </c>
      <c r="R188">
        <v>418</v>
      </c>
      <c r="S188">
        <v>21</v>
      </c>
      <c r="T188" t="s">
        <v>936</v>
      </c>
      <c r="U188">
        <v>2</v>
      </c>
      <c r="V188">
        <v>21</v>
      </c>
      <c r="W188">
        <v>21</v>
      </c>
      <c r="X188">
        <v>1</v>
      </c>
      <c r="Y188">
        <v>5.0239234449760763</v>
      </c>
      <c r="Z188" t="s">
        <v>18</v>
      </c>
      <c r="AA188">
        <v>1</v>
      </c>
    </row>
    <row r="189" spans="1:27">
      <c r="A189" t="s">
        <v>1905</v>
      </c>
      <c r="B189" t="s">
        <v>608</v>
      </c>
      <c r="C189" t="s">
        <v>1988</v>
      </c>
      <c r="D189" t="s">
        <v>960</v>
      </c>
      <c r="E189" t="s">
        <v>716</v>
      </c>
      <c r="F189" t="s">
        <v>961</v>
      </c>
      <c r="G189">
        <v>61</v>
      </c>
      <c r="H189">
        <v>308</v>
      </c>
      <c r="I189">
        <v>15</v>
      </c>
      <c r="J189">
        <v>31235</v>
      </c>
      <c r="K189">
        <v>14</v>
      </c>
      <c r="L189" t="s">
        <v>964</v>
      </c>
      <c r="M189" t="s">
        <v>25</v>
      </c>
      <c r="N189" t="s">
        <v>962</v>
      </c>
      <c r="O189" t="s">
        <v>963</v>
      </c>
      <c r="P189">
        <v>443</v>
      </c>
      <c r="Q189">
        <v>67</v>
      </c>
      <c r="R189">
        <v>280</v>
      </c>
      <c r="S189">
        <v>14</v>
      </c>
      <c r="T189" t="s">
        <v>963</v>
      </c>
      <c r="U189">
        <v>6</v>
      </c>
      <c r="V189">
        <v>28</v>
      </c>
      <c r="W189">
        <v>28</v>
      </c>
      <c r="X189">
        <v>1</v>
      </c>
      <c r="Y189">
        <v>10</v>
      </c>
      <c r="Z189" t="s">
        <v>18</v>
      </c>
      <c r="AA189">
        <v>1</v>
      </c>
    </row>
    <row r="190" spans="1:27">
      <c r="A190" t="s">
        <v>1905</v>
      </c>
      <c r="B190" t="s">
        <v>608</v>
      </c>
      <c r="C190" t="s">
        <v>1989</v>
      </c>
      <c r="D190" t="s">
        <v>856</v>
      </c>
      <c r="E190" t="s">
        <v>857</v>
      </c>
      <c r="F190" t="s">
        <v>858</v>
      </c>
      <c r="G190">
        <v>43</v>
      </c>
      <c r="H190">
        <v>675</v>
      </c>
      <c r="I190">
        <v>38</v>
      </c>
      <c r="J190">
        <v>92024</v>
      </c>
      <c r="K190">
        <v>15</v>
      </c>
      <c r="L190" t="s">
        <v>861</v>
      </c>
      <c r="M190" t="s">
        <v>25</v>
      </c>
      <c r="N190" t="s">
        <v>859</v>
      </c>
      <c r="O190" t="s">
        <v>860</v>
      </c>
      <c r="P190">
        <v>291</v>
      </c>
      <c r="Q190">
        <v>51</v>
      </c>
      <c r="R190">
        <v>620</v>
      </c>
      <c r="S190">
        <v>37</v>
      </c>
      <c r="T190" t="s">
        <v>860</v>
      </c>
      <c r="U190">
        <v>8</v>
      </c>
      <c r="V190">
        <v>55</v>
      </c>
      <c r="W190">
        <v>55</v>
      </c>
      <c r="X190">
        <v>1</v>
      </c>
      <c r="Y190">
        <v>8.870967741935484</v>
      </c>
      <c r="Z190" t="s">
        <v>18</v>
      </c>
      <c r="AA190">
        <v>1</v>
      </c>
    </row>
    <row r="191" spans="1:27">
      <c r="A191" t="s">
        <v>1905</v>
      </c>
      <c r="B191" t="s">
        <v>608</v>
      </c>
      <c r="C191" t="s">
        <v>1990</v>
      </c>
      <c r="D191" t="s">
        <v>1057</v>
      </c>
      <c r="E191" t="s">
        <v>451</v>
      </c>
      <c r="F191" t="s">
        <v>1058</v>
      </c>
      <c r="G191">
        <v>78</v>
      </c>
      <c r="H191">
        <v>301</v>
      </c>
      <c r="I191">
        <v>15</v>
      </c>
      <c r="J191">
        <v>28539</v>
      </c>
      <c r="K191">
        <v>15</v>
      </c>
      <c r="L191" t="s">
        <v>1061</v>
      </c>
      <c r="M191" t="s">
        <v>25</v>
      </c>
      <c r="N191" t="s">
        <v>1059</v>
      </c>
      <c r="O191" t="s">
        <v>1060</v>
      </c>
      <c r="P191">
        <v>375</v>
      </c>
      <c r="Q191">
        <v>82</v>
      </c>
      <c r="R191">
        <v>285</v>
      </c>
      <c r="S191">
        <v>14</v>
      </c>
      <c r="T191" t="s">
        <v>1060</v>
      </c>
      <c r="U191">
        <v>4</v>
      </c>
      <c r="V191">
        <v>16</v>
      </c>
      <c r="W191">
        <v>16</v>
      </c>
      <c r="X191">
        <v>1</v>
      </c>
      <c r="Y191">
        <v>5.6140350877192979</v>
      </c>
      <c r="Z191" t="s">
        <v>18</v>
      </c>
      <c r="AA191">
        <v>1</v>
      </c>
    </row>
    <row r="192" spans="1:27">
      <c r="A192" t="s">
        <v>1905</v>
      </c>
      <c r="B192" t="s">
        <v>608</v>
      </c>
      <c r="C192" t="s">
        <v>1991</v>
      </c>
      <c r="D192" t="s">
        <v>1183</v>
      </c>
      <c r="E192" t="s">
        <v>1184</v>
      </c>
      <c r="F192" t="s">
        <v>1185</v>
      </c>
      <c r="G192">
        <v>100</v>
      </c>
      <c r="H192">
        <v>428</v>
      </c>
      <c r="I192">
        <v>17</v>
      </c>
      <c r="J192">
        <v>94757</v>
      </c>
      <c r="K192">
        <v>13</v>
      </c>
      <c r="L192" t="s">
        <v>1188</v>
      </c>
      <c r="M192" t="s">
        <v>25</v>
      </c>
      <c r="N192" t="s">
        <v>1186</v>
      </c>
      <c r="O192" t="s">
        <v>1187</v>
      </c>
      <c r="P192">
        <v>812</v>
      </c>
      <c r="Q192">
        <v>94</v>
      </c>
      <c r="R192">
        <v>401</v>
      </c>
      <c r="S192">
        <v>16</v>
      </c>
      <c r="T192" t="s">
        <v>1187</v>
      </c>
      <c r="U192">
        <v>-6</v>
      </c>
      <c r="V192">
        <v>27</v>
      </c>
      <c r="W192">
        <v>27</v>
      </c>
      <c r="X192">
        <v>1</v>
      </c>
      <c r="Y192">
        <v>6.7331670822942637</v>
      </c>
      <c r="Z192" t="s">
        <v>18</v>
      </c>
      <c r="AA192">
        <v>1</v>
      </c>
    </row>
    <row r="193" spans="1:27">
      <c r="A193" t="s">
        <v>1905</v>
      </c>
      <c r="B193" t="s">
        <v>608</v>
      </c>
      <c r="C193" t="s">
        <v>1992</v>
      </c>
      <c r="D193" t="s">
        <v>938</v>
      </c>
      <c r="E193" t="s">
        <v>939</v>
      </c>
      <c r="F193" t="s">
        <v>940</v>
      </c>
      <c r="G193">
        <v>57</v>
      </c>
      <c r="H193">
        <v>530</v>
      </c>
      <c r="I193">
        <v>35</v>
      </c>
      <c r="J193">
        <v>100254</v>
      </c>
      <c r="K193">
        <v>12</v>
      </c>
      <c r="L193" t="s">
        <v>943</v>
      </c>
      <c r="M193" t="s">
        <v>44</v>
      </c>
      <c r="N193" t="s">
        <v>941</v>
      </c>
      <c r="O193" t="s">
        <v>942</v>
      </c>
      <c r="P193">
        <v>191</v>
      </c>
      <c r="Q193">
        <v>64</v>
      </c>
      <c r="R193">
        <v>499</v>
      </c>
      <c r="S193">
        <v>35</v>
      </c>
      <c r="T193" t="s">
        <v>942</v>
      </c>
      <c r="U193">
        <v>7</v>
      </c>
      <c r="V193">
        <v>31</v>
      </c>
      <c r="W193">
        <v>31</v>
      </c>
      <c r="X193">
        <v>0</v>
      </c>
      <c r="Y193">
        <v>6.2124248496993983</v>
      </c>
      <c r="Z193" t="s">
        <v>18</v>
      </c>
      <c r="AA193">
        <v>1</v>
      </c>
    </row>
    <row r="194" spans="1:27">
      <c r="A194" t="s">
        <v>1905</v>
      </c>
      <c r="B194" t="s">
        <v>608</v>
      </c>
      <c r="C194" t="s">
        <v>1993</v>
      </c>
      <c r="D194" t="s">
        <v>1052</v>
      </c>
      <c r="E194" t="s">
        <v>716</v>
      </c>
      <c r="F194" t="s">
        <v>1053</v>
      </c>
      <c r="G194">
        <v>77</v>
      </c>
      <c r="H194">
        <v>291</v>
      </c>
      <c r="I194">
        <v>12</v>
      </c>
      <c r="J194">
        <v>25345</v>
      </c>
      <c r="K194">
        <v>11</v>
      </c>
      <c r="L194" t="s">
        <v>1056</v>
      </c>
      <c r="M194" t="s">
        <v>25</v>
      </c>
      <c r="N194" t="s">
        <v>1054</v>
      </c>
      <c r="O194" t="s">
        <v>1055</v>
      </c>
      <c r="P194">
        <v>577</v>
      </c>
      <c r="Q194">
        <v>71</v>
      </c>
      <c r="R194">
        <v>277</v>
      </c>
      <c r="S194">
        <v>11</v>
      </c>
      <c r="T194" t="s">
        <v>1055</v>
      </c>
      <c r="U194">
        <v>-6</v>
      </c>
      <c r="V194">
        <v>14</v>
      </c>
      <c r="W194">
        <v>14</v>
      </c>
      <c r="X194">
        <v>1</v>
      </c>
      <c r="Y194">
        <v>5.0541516245487363</v>
      </c>
      <c r="Z194" t="s">
        <v>18</v>
      </c>
      <c r="AA194">
        <v>1</v>
      </c>
    </row>
    <row r="195" spans="1:27">
      <c r="A195" t="s">
        <v>1905</v>
      </c>
      <c r="B195" t="s">
        <v>608</v>
      </c>
      <c r="C195" t="s">
        <v>1994</v>
      </c>
      <c r="D195" t="s">
        <v>1047</v>
      </c>
      <c r="E195" t="s">
        <v>1048</v>
      </c>
      <c r="F195" t="s">
        <v>1049</v>
      </c>
      <c r="G195">
        <v>76</v>
      </c>
      <c r="H195">
        <v>111</v>
      </c>
      <c r="I195">
        <v>2</v>
      </c>
      <c r="J195">
        <v>17699</v>
      </c>
      <c r="K195">
        <v>5</v>
      </c>
      <c r="L195" t="s">
        <v>1051</v>
      </c>
      <c r="M195" t="s">
        <v>25</v>
      </c>
      <c r="N195" t="s">
        <v>1050</v>
      </c>
      <c r="P195">
        <v>0</v>
      </c>
      <c r="Q195">
        <v>89</v>
      </c>
      <c r="R195">
        <v>94</v>
      </c>
      <c r="S195">
        <v>2</v>
      </c>
      <c r="U195">
        <v>13</v>
      </c>
      <c r="V195">
        <v>17</v>
      </c>
      <c r="W195">
        <v>17</v>
      </c>
      <c r="X195">
        <v>0</v>
      </c>
      <c r="Y195">
        <v>18.085106382978729</v>
      </c>
      <c r="Z195" t="s">
        <v>18</v>
      </c>
      <c r="AA195">
        <v>1</v>
      </c>
    </row>
    <row r="196" spans="1:27">
      <c r="A196" t="s">
        <v>1905</v>
      </c>
      <c r="B196" t="s">
        <v>608</v>
      </c>
      <c r="C196" t="s">
        <v>1995</v>
      </c>
      <c r="D196" t="s">
        <v>920</v>
      </c>
      <c r="E196" t="s">
        <v>921</v>
      </c>
      <c r="F196" t="s">
        <v>922</v>
      </c>
      <c r="G196">
        <v>54</v>
      </c>
      <c r="H196">
        <v>370</v>
      </c>
      <c r="I196">
        <v>11</v>
      </c>
      <c r="J196">
        <v>32866</v>
      </c>
      <c r="K196">
        <v>9</v>
      </c>
      <c r="L196" t="s">
        <v>925</v>
      </c>
      <c r="M196" t="s">
        <v>25</v>
      </c>
      <c r="N196" t="s">
        <v>923</v>
      </c>
      <c r="O196" t="s">
        <v>924</v>
      </c>
      <c r="P196">
        <v>516</v>
      </c>
      <c r="Q196">
        <v>47</v>
      </c>
      <c r="R196">
        <v>288</v>
      </c>
      <c r="S196">
        <v>10</v>
      </c>
      <c r="T196" t="s">
        <v>924</v>
      </c>
      <c r="U196">
        <v>-7</v>
      </c>
      <c r="V196">
        <v>82</v>
      </c>
      <c r="W196">
        <v>82</v>
      </c>
      <c r="X196">
        <v>1</v>
      </c>
      <c r="Y196">
        <v>28.472222222222221</v>
      </c>
      <c r="Z196" t="s">
        <v>18</v>
      </c>
      <c r="AA196">
        <v>1</v>
      </c>
    </row>
    <row r="197" spans="1:27">
      <c r="A197" t="s">
        <v>1905</v>
      </c>
      <c r="B197" t="s">
        <v>608</v>
      </c>
      <c r="C197" t="s">
        <v>1996</v>
      </c>
      <c r="D197" t="s">
        <v>649</v>
      </c>
      <c r="E197" t="s">
        <v>650</v>
      </c>
      <c r="F197" t="s">
        <v>651</v>
      </c>
      <c r="G197">
        <v>8</v>
      </c>
      <c r="H197">
        <v>1037</v>
      </c>
      <c r="I197">
        <v>7</v>
      </c>
      <c r="J197">
        <v>29480</v>
      </c>
      <c r="K197">
        <v>6</v>
      </c>
      <c r="L197" t="s">
        <v>654</v>
      </c>
      <c r="M197" t="s">
        <v>25</v>
      </c>
      <c r="N197" t="s">
        <v>652</v>
      </c>
      <c r="O197" t="s">
        <v>653</v>
      </c>
      <c r="P197">
        <v>339</v>
      </c>
      <c r="Q197">
        <v>9</v>
      </c>
      <c r="R197">
        <v>823</v>
      </c>
      <c r="S197">
        <v>6</v>
      </c>
      <c r="T197" t="s">
        <v>653</v>
      </c>
      <c r="U197">
        <v>1</v>
      </c>
      <c r="V197">
        <v>214</v>
      </c>
      <c r="W197">
        <v>214</v>
      </c>
      <c r="X197">
        <v>1</v>
      </c>
      <c r="Y197">
        <v>26.002430133657349</v>
      </c>
      <c r="Z197" t="s">
        <v>18</v>
      </c>
      <c r="AA197">
        <v>1</v>
      </c>
    </row>
    <row r="198" spans="1:27">
      <c r="A198" t="s">
        <v>1905</v>
      </c>
      <c r="B198" t="s">
        <v>608</v>
      </c>
      <c r="C198" t="s">
        <v>1997</v>
      </c>
      <c r="D198" t="s">
        <v>891</v>
      </c>
      <c r="E198" t="s">
        <v>258</v>
      </c>
      <c r="F198" t="s">
        <v>892</v>
      </c>
      <c r="G198">
        <v>49</v>
      </c>
      <c r="H198">
        <v>294</v>
      </c>
      <c r="I198">
        <v>17</v>
      </c>
      <c r="J198">
        <v>34508</v>
      </c>
      <c r="K198">
        <v>9</v>
      </c>
      <c r="L198" t="s">
        <v>895</v>
      </c>
      <c r="M198" t="s">
        <v>25</v>
      </c>
      <c r="N198" t="s">
        <v>893</v>
      </c>
      <c r="O198" t="s">
        <v>894</v>
      </c>
      <c r="P198">
        <v>439</v>
      </c>
      <c r="Q198">
        <v>48</v>
      </c>
      <c r="R198">
        <v>282</v>
      </c>
      <c r="S198">
        <v>17</v>
      </c>
      <c r="T198" t="s">
        <v>894</v>
      </c>
      <c r="U198">
        <v>-1</v>
      </c>
      <c r="V198">
        <v>12</v>
      </c>
      <c r="W198">
        <v>12</v>
      </c>
      <c r="X198">
        <v>0</v>
      </c>
      <c r="Y198">
        <v>4.2553191489361701</v>
      </c>
      <c r="Z198" t="s">
        <v>18</v>
      </c>
      <c r="AA198">
        <v>1</v>
      </c>
    </row>
    <row r="199" spans="1:27">
      <c r="A199" t="s">
        <v>1905</v>
      </c>
      <c r="C199" t="s">
        <v>1219</v>
      </c>
      <c r="D199" t="s">
        <v>1208</v>
      </c>
      <c r="E199" t="s">
        <v>716</v>
      </c>
      <c r="N199" t="s">
        <v>1209</v>
      </c>
      <c r="O199" t="s">
        <v>1210</v>
      </c>
      <c r="Q199">
        <v>91</v>
      </c>
      <c r="R199">
        <v>139</v>
      </c>
      <c r="S199">
        <v>11</v>
      </c>
      <c r="T199" t="s">
        <v>1210</v>
      </c>
      <c r="Z199" t="s">
        <v>1189</v>
      </c>
      <c r="AA199">
        <v>1</v>
      </c>
    </row>
    <row r="200" spans="1:27">
      <c r="A200" t="s">
        <v>1905</v>
      </c>
      <c r="B200" t="s">
        <v>608</v>
      </c>
      <c r="C200" t="s">
        <v>1998</v>
      </c>
      <c r="D200" t="s">
        <v>902</v>
      </c>
      <c r="E200" t="s">
        <v>903</v>
      </c>
      <c r="F200" t="s">
        <v>904</v>
      </c>
      <c r="G200">
        <v>51</v>
      </c>
      <c r="H200">
        <v>325</v>
      </c>
      <c r="I200">
        <v>6</v>
      </c>
      <c r="J200">
        <v>20734</v>
      </c>
      <c r="K200">
        <v>5</v>
      </c>
      <c r="L200" t="s">
        <v>907</v>
      </c>
      <c r="M200" t="s">
        <v>25</v>
      </c>
      <c r="N200" t="s">
        <v>905</v>
      </c>
      <c r="O200" t="s">
        <v>906</v>
      </c>
      <c r="P200">
        <v>158</v>
      </c>
      <c r="Q200">
        <v>49</v>
      </c>
      <c r="R200">
        <v>319</v>
      </c>
      <c r="S200">
        <v>6</v>
      </c>
      <c r="T200" t="s">
        <v>906</v>
      </c>
      <c r="U200">
        <v>-2</v>
      </c>
      <c r="V200">
        <v>6</v>
      </c>
      <c r="W200">
        <v>6</v>
      </c>
      <c r="X200">
        <v>0</v>
      </c>
      <c r="Y200">
        <v>1.880877742946709</v>
      </c>
      <c r="Z200" t="s">
        <v>18</v>
      </c>
      <c r="AA200">
        <v>1</v>
      </c>
    </row>
    <row r="201" spans="1:27">
      <c r="A201" t="s">
        <v>1905</v>
      </c>
      <c r="B201" t="s">
        <v>608</v>
      </c>
      <c r="C201" t="s">
        <v>1999</v>
      </c>
      <c r="D201" t="s">
        <v>1091</v>
      </c>
      <c r="E201" t="s">
        <v>1092</v>
      </c>
      <c r="F201" t="s">
        <v>1093</v>
      </c>
      <c r="G201">
        <v>84</v>
      </c>
      <c r="H201">
        <v>177</v>
      </c>
      <c r="I201">
        <v>5</v>
      </c>
      <c r="J201">
        <v>26023</v>
      </c>
      <c r="K201">
        <v>4</v>
      </c>
      <c r="L201" t="s">
        <v>1096</v>
      </c>
      <c r="M201" t="s">
        <v>25</v>
      </c>
      <c r="N201" t="s">
        <v>1094</v>
      </c>
      <c r="O201" t="s">
        <v>1095</v>
      </c>
      <c r="P201">
        <v>429</v>
      </c>
      <c r="Q201">
        <v>92</v>
      </c>
      <c r="R201">
        <v>167</v>
      </c>
      <c r="S201">
        <v>5</v>
      </c>
      <c r="T201" t="s">
        <v>1095</v>
      </c>
      <c r="U201">
        <v>8</v>
      </c>
      <c r="V201">
        <v>10</v>
      </c>
      <c r="W201">
        <v>10</v>
      </c>
      <c r="X201">
        <v>0</v>
      </c>
      <c r="Y201">
        <v>5.9880239520958094</v>
      </c>
      <c r="Z201" t="s">
        <v>18</v>
      </c>
      <c r="AA201">
        <v>1</v>
      </c>
    </row>
    <row r="202" spans="1:27">
      <c r="A202" t="s">
        <v>1905</v>
      </c>
      <c r="B202" t="s">
        <v>608</v>
      </c>
      <c r="C202" t="s">
        <v>2000</v>
      </c>
      <c r="D202" t="s">
        <v>844</v>
      </c>
      <c r="E202" t="s">
        <v>845</v>
      </c>
      <c r="F202" t="s">
        <v>846</v>
      </c>
      <c r="G202">
        <v>41</v>
      </c>
      <c r="H202">
        <v>250</v>
      </c>
      <c r="I202">
        <v>12</v>
      </c>
      <c r="J202">
        <v>24128</v>
      </c>
      <c r="K202">
        <v>5</v>
      </c>
      <c r="L202" t="s">
        <v>849</v>
      </c>
      <c r="M202" t="s">
        <v>25</v>
      </c>
      <c r="N202" t="s">
        <v>847</v>
      </c>
      <c r="O202" t="s">
        <v>848</v>
      </c>
      <c r="P202">
        <v>572</v>
      </c>
      <c r="Q202">
        <v>45</v>
      </c>
      <c r="R202">
        <v>211</v>
      </c>
      <c r="S202">
        <v>10</v>
      </c>
      <c r="T202" t="s">
        <v>848</v>
      </c>
      <c r="U202">
        <v>4</v>
      </c>
      <c r="V202">
        <v>39</v>
      </c>
      <c r="W202">
        <v>39</v>
      </c>
      <c r="X202">
        <v>2</v>
      </c>
      <c r="Y202">
        <v>18.48341232227488</v>
      </c>
      <c r="Z202" t="s">
        <v>18</v>
      </c>
      <c r="AA202">
        <v>1</v>
      </c>
    </row>
    <row r="203" spans="1:27">
      <c r="A203" t="s">
        <v>1905</v>
      </c>
      <c r="B203" t="s">
        <v>608</v>
      </c>
      <c r="C203" t="s">
        <v>2001</v>
      </c>
      <c r="D203" t="s">
        <v>750</v>
      </c>
      <c r="E203" t="s">
        <v>751</v>
      </c>
      <c r="F203" t="s">
        <v>752</v>
      </c>
      <c r="G203">
        <v>25</v>
      </c>
      <c r="H203">
        <v>493</v>
      </c>
      <c r="I203">
        <v>6</v>
      </c>
      <c r="J203">
        <v>18840</v>
      </c>
      <c r="K203">
        <v>5</v>
      </c>
      <c r="L203" t="s">
        <v>755</v>
      </c>
      <c r="M203" t="s">
        <v>25</v>
      </c>
      <c r="N203" t="s">
        <v>753</v>
      </c>
      <c r="O203" t="s">
        <v>754</v>
      </c>
      <c r="P203">
        <v>458</v>
      </c>
      <c r="Q203">
        <v>28</v>
      </c>
      <c r="R203">
        <v>455</v>
      </c>
      <c r="S203">
        <v>5</v>
      </c>
      <c r="T203" t="s">
        <v>754</v>
      </c>
      <c r="U203">
        <v>3</v>
      </c>
      <c r="V203">
        <v>38</v>
      </c>
      <c r="W203">
        <v>38</v>
      </c>
      <c r="X203">
        <v>1</v>
      </c>
      <c r="Y203">
        <v>8.3516483516483504</v>
      </c>
      <c r="Z203" t="s">
        <v>18</v>
      </c>
      <c r="AA203">
        <v>1</v>
      </c>
    </row>
    <row r="204" spans="1:27">
      <c r="A204" t="s">
        <v>1905</v>
      </c>
      <c r="B204" t="s">
        <v>608</v>
      </c>
      <c r="C204" t="s">
        <v>2002</v>
      </c>
      <c r="D204" t="s">
        <v>1136</v>
      </c>
      <c r="E204" t="s">
        <v>1137</v>
      </c>
      <c r="F204" t="s">
        <v>1138</v>
      </c>
      <c r="G204">
        <v>92</v>
      </c>
      <c r="H204">
        <v>28194</v>
      </c>
      <c r="I204">
        <v>204</v>
      </c>
      <c r="J204">
        <v>808055</v>
      </c>
      <c r="K204">
        <v>209</v>
      </c>
      <c r="L204" t="s">
        <v>1141</v>
      </c>
      <c r="M204" t="s">
        <v>44</v>
      </c>
      <c r="N204" t="s">
        <v>1139</v>
      </c>
      <c r="O204" t="s">
        <v>1140</v>
      </c>
      <c r="P204">
        <v>101</v>
      </c>
      <c r="Q204">
        <v>88</v>
      </c>
      <c r="R204">
        <v>28182</v>
      </c>
      <c r="S204">
        <v>204</v>
      </c>
      <c r="T204" t="s">
        <v>1140</v>
      </c>
      <c r="U204">
        <v>-4</v>
      </c>
      <c r="V204">
        <v>12</v>
      </c>
      <c r="W204">
        <v>12</v>
      </c>
      <c r="X204">
        <v>0</v>
      </c>
      <c r="Y204">
        <v>4.2580370449222908E-2</v>
      </c>
      <c r="Z204" t="s">
        <v>18</v>
      </c>
      <c r="AA204">
        <v>1</v>
      </c>
    </row>
    <row r="205" spans="1:27">
      <c r="A205" t="s">
        <v>1905</v>
      </c>
      <c r="B205" t="s">
        <v>608</v>
      </c>
      <c r="C205" t="s">
        <v>2003</v>
      </c>
      <c r="D205" t="s">
        <v>774</v>
      </c>
      <c r="E205" t="s">
        <v>775</v>
      </c>
      <c r="F205" t="s">
        <v>776</v>
      </c>
      <c r="G205">
        <v>29</v>
      </c>
      <c r="H205">
        <v>2478</v>
      </c>
      <c r="I205">
        <v>116</v>
      </c>
      <c r="J205">
        <v>179736</v>
      </c>
      <c r="K205">
        <v>207</v>
      </c>
      <c r="L205" t="s">
        <v>779</v>
      </c>
      <c r="M205" t="s">
        <v>25</v>
      </c>
      <c r="N205" t="s">
        <v>777</v>
      </c>
      <c r="O205" t="s">
        <v>778</v>
      </c>
      <c r="P205">
        <v>513</v>
      </c>
      <c r="Q205">
        <v>29</v>
      </c>
      <c r="R205">
        <v>2450</v>
      </c>
      <c r="S205">
        <v>116</v>
      </c>
      <c r="T205" t="s">
        <v>778</v>
      </c>
      <c r="U205">
        <v>0</v>
      </c>
      <c r="V205">
        <v>28</v>
      </c>
      <c r="W205">
        <v>28</v>
      </c>
      <c r="X205">
        <v>0</v>
      </c>
      <c r="Y205">
        <v>1.142857142857143</v>
      </c>
      <c r="Z205" t="s">
        <v>18</v>
      </c>
      <c r="AA205">
        <v>1</v>
      </c>
    </row>
    <row r="206" spans="1:27">
      <c r="A206" t="s">
        <v>1905</v>
      </c>
      <c r="B206" t="s">
        <v>608</v>
      </c>
      <c r="C206" t="s">
        <v>2004</v>
      </c>
      <c r="D206" t="s">
        <v>1177</v>
      </c>
      <c r="E206" t="s">
        <v>1178</v>
      </c>
      <c r="F206" t="s">
        <v>1179</v>
      </c>
      <c r="G206">
        <v>99</v>
      </c>
      <c r="H206">
        <v>140</v>
      </c>
      <c r="I206">
        <v>12</v>
      </c>
      <c r="J206">
        <v>28282</v>
      </c>
      <c r="K206">
        <v>8</v>
      </c>
      <c r="L206" t="s">
        <v>1182</v>
      </c>
      <c r="M206" t="s">
        <v>25</v>
      </c>
      <c r="N206" t="s">
        <v>1180</v>
      </c>
      <c r="O206" t="s">
        <v>1181</v>
      </c>
      <c r="P206">
        <v>173</v>
      </c>
      <c r="Q206">
        <v>98</v>
      </c>
      <c r="R206">
        <v>107</v>
      </c>
      <c r="S206">
        <v>11</v>
      </c>
      <c r="T206" t="s">
        <v>1181</v>
      </c>
      <c r="U206">
        <v>-1</v>
      </c>
      <c r="V206">
        <v>33</v>
      </c>
      <c r="W206">
        <v>33</v>
      </c>
      <c r="X206">
        <v>1</v>
      </c>
      <c r="Y206">
        <v>30.841121495327101</v>
      </c>
      <c r="Z206" t="s">
        <v>18</v>
      </c>
      <c r="AA206">
        <v>1</v>
      </c>
    </row>
    <row r="207" spans="1:27">
      <c r="A207" t="s">
        <v>1905</v>
      </c>
      <c r="B207" t="s">
        <v>608</v>
      </c>
      <c r="C207" t="s">
        <v>2005</v>
      </c>
      <c r="D207" t="s">
        <v>1068</v>
      </c>
      <c r="E207" t="s">
        <v>1069</v>
      </c>
      <c r="F207" t="s">
        <v>1070</v>
      </c>
      <c r="G207">
        <v>80</v>
      </c>
      <c r="H207">
        <v>1221</v>
      </c>
      <c r="I207">
        <v>57</v>
      </c>
      <c r="J207">
        <v>206906</v>
      </c>
      <c r="K207">
        <v>175</v>
      </c>
      <c r="L207" t="s">
        <v>1073</v>
      </c>
      <c r="M207" t="s">
        <v>25</v>
      </c>
      <c r="N207" t="s">
        <v>1071</v>
      </c>
      <c r="O207" t="s">
        <v>1072</v>
      </c>
      <c r="P207">
        <v>236</v>
      </c>
      <c r="Q207">
        <v>85</v>
      </c>
      <c r="R207">
        <v>1190</v>
      </c>
      <c r="S207">
        <v>56</v>
      </c>
      <c r="T207" t="s">
        <v>1072</v>
      </c>
      <c r="U207">
        <v>5</v>
      </c>
      <c r="V207">
        <v>31</v>
      </c>
      <c r="W207">
        <v>31</v>
      </c>
      <c r="X207">
        <v>1</v>
      </c>
      <c r="Y207">
        <v>2.6050420168067232</v>
      </c>
      <c r="Z207" t="s">
        <v>18</v>
      </c>
      <c r="AA207">
        <v>1</v>
      </c>
    </row>
  </sheetData>
  <phoneticPr fontId="10"/>
  <pageMargins left="0.75" right="0.75" top="1" bottom="1" header="0.5" footer="0.5"/>
</worksheet>
</file>

<file path=xl/worksheets/sheet10.xml><?xml version="1.0" encoding="utf-8"?>
<ns0:worksheet xmlns:ns0="http://schemas.openxmlformats.org/spreadsheetml/2006/main" xmlns:ns1="http://schemas.openxmlformats.org/markup-compatibility/2006" xmlns:ns2="http://schemas.microsoft.com/office/spreadsheetml/2014/revision" xmlns:ns3="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900-000000000000}">
  <ns0:sheetPr>
    <ns0:tabColor rgb="FF0B6D73"/>
  </ns0:sheetPr>
  <ns0:dimension ref="A1:Y205"/>
  <ns0:sheetViews>
    <ns0:sheetView showGridLines="0" tabSelected="1" workbookViewId="0">
      <ns0:pane xSplit="3" ySplit="5" topLeftCell="D6" activePane="bottomRight" state="frozen"/>
      <ns0:selection pane="topRight"/>
      <ns0:selection pane="bottomLeft"/>
      <ns0:selection pane="bottomRight" activeCell="D11" sqref="D11"/>
    </ns0:sheetView>
  </ns0:sheetViews>
  <ns0:sheetFormatPr defaultRowHeight="13.2"/>
  <ns0:cols>
    <ns0:col min="1" max="1" width="16.109375" bestFit="1" customWidth="1"/>
    <ns0:col min="2" max="2" width="7.77734375" bestFit="1" customWidth="1"/>
    <ns0:col min="3" max="3" width="66.88671875" bestFit="1" customWidth="1"/>
    <ns0:col min="4" max="6" width="20.44140625" bestFit="1" customWidth="1"/>
    <ns0:col min="7" max="7" width="22.88671875" bestFit="1" customWidth="1"/>
    <ns0:col min="8" max="8" width="33.6640625" bestFit="1" customWidth="1"/>
    <ns0:col min="9" max="9" width="56.109375" bestFit="1" customWidth="1"/>
    <ns0:col min="10" max="11" width="48.77734375" customWidth="1"/>
    <ns0:col min="12" max="12" width="38" bestFit="1" customWidth="1"/>
    <ns0:col min="13" max="13" width="50" bestFit="1" customWidth="1"/>
    <ns0:col min="14" max="14" width="48.77734375" customWidth="1"/>
    <ns0:col min="15" max="15" width="49.88671875" bestFit="1" customWidth="1"/>
    <ns0:col min="16" max="16" width="24.77734375" bestFit="1" customWidth="1"/>
    <ns0:col min="17" max="17" width="30.33203125" bestFit="1" customWidth="1"/>
    <ns0:col min="18" max="18" width="22.6640625" bestFit="1" customWidth="1"/>
    <ns0:col min="19" max="19" width="61.25" hidden="0" customWidth="1"/>
    <ns0:col min="20" max="20" width="41.25" hidden="0" customWidth="1"/>
    <ns0:col min="21" max="21" width="47.5" hidden="0" customWidth="1"/>
    <ns0:col min="22" max="22" width="61.25" hidden="0" customWidth="1"/>
    <ns0:col min="23" max="23" width="48.75" hidden="0" customWidth="1"/>
    <ns0:col min="24" max="24" width="52.5" hidden="0" customWidth="1"/>
    <ns0:col min="25" max="25" width="55" hidden="0" customWidth="1"/>
  </ns0:cols>
  <ns0:sheetData>
    <ns0:row r="1" ht="34.950000000000003" customHeight="1">
      <ns0:c r="A1" s="1" t="s">
        <ns0:v>2006</ns0:v>
      </ns0:c>
      <ns0:c r="B1" s="20" t="s">
        <ns0:v>2006</ns0:v>
      </ns0:c>
      <ns0:c r="C1" s="20" t="s">
        <ns0:v>2006</ns0:v>
      </ns0:c>
      <ns0:c r="D1" s="20" t="s">
        <ns0:v>2006</ns0:v>
      </ns0:c>
      <ns0:c r="E1" s="20" t="s">
        <ns0:v>2006</ns0:v>
      </ns0:c>
      <ns0:c r="F1" s="20" t="s">
        <ns0:v>2006</ns0:v>
      </ns0:c>
      <ns0:c r="G1" s="20" t="s">
        <ns0:v>2006</ns0:v>
      </ns0:c>
      <ns0:c r="H1" s="2"/>
      <ns0:c r="I1" s="2"/>
      <ns0:c r="J1" s="2"/>
      <ns0:c r="K1" s="2"/>
      <ns0:c r="L1" s="2"/>
      <ns0:c r="M1" s="2"/>
      <ns0:c r="N1" s="2"/>
      <ns0:c r="O1" s="2"/>
      <ns0:c r="P1" s="2"/>
      <ns0:c r="Q1" s="2"/>
      <ns0:c r="R1" s="2"/>
      <ns0:c r="S1" s="64" t="str">
        <ns0:v>要素の組み合わせと面白さの関係</ns0:v>
      </ns0:c>
      <ns0:c r="T1" s="64" t="str">
        <ns0:v>要素の組み合わせと面白さの関係</ns0:v>
      </ns0:c>
      <ns0:c r="U1" s="64" t="str">
        <ns0:v>要素の組み合わせと面白さの関係</ns0:v>
      </ns0:c>
      <ns0:c r="V1" s="64" t="str">
        <ns0:v>要素の組み合わせと面白さの関係</ns0:v>
      </ns0:c>
      <ns0:c r="W1" s="64" t="str">
        <ns0:v>要素の組み合わせと面白さの関係</ns0:v>
      </ns0:c>
      <ns0:c r="X1" s="64" t="str">
        <ns0:v>要素の組み合わせと面白さの関係</ns0:v>
      </ns0:c>
      <ns0:c r="Y1" s="64" t="str">
        <ns0:v>要素の組み合わせと面白さの関係</ns0:v>
      </ns0:c>
    </ns0:row>
    <ns0:row r="2" ht="30" customHeight="1">
      <ns0:c r="A2" s="21" t="s">
        <ns0:v>2007</ns0:v>
      </ns0:c>
      <ns0:c r="B2" s="21" t="s">
        <ns0:v>2007</ns0:v>
      </ns0:c>
      <ns0:c r="C2" s="21" t="s">
        <ns0:v>2007</ns0:v>
      </ns0:c>
      <ns0:c r="D2" s="21" t="s">
        <ns0:v>2007</ns0:v>
      </ns0:c>
      <ns0:c r="E2" s="21" t="s">
        <ns0:v>2007</ns0:v>
      </ns0:c>
      <ns0:c r="F2" s="21" t="s">
        <ns0:v>2007</ns0:v>
      </ns0:c>
      <ns0:c r="G2" s="21" t="s">
        <ns0:v>2007</ns0:v>
      </ns0:c>
      <ns0:c r="H2" s="2"/>
      <ns0:c r="I2" s="2"/>
      <ns0:c r="J2" s="2"/>
      <ns0:c r="K2" s="2"/>
      <ns0:c r="L2" s="2"/>
      <ns0:c r="M2" s="2"/>
      <ns0:c r="N2" s="2"/>
      <ns0:c r="O2" s="2"/>
      <ns0:c r="P2" s="2"/>
      <ns0:c r="Q2" s="2"/>
      <ns0:c r="R2" s="2"/>
      <ns0:c r="S2" s="66" t="str">
        <ns0:v>2026年9月4日取得の200作品。中心活動に、能力・目的・見せ方・主要人物の性格・関係を重ねて記載。要素数は作品ごとに異なります。</ns0:v>
      </ns0:c>
      <ns0:c r="T2" s="66" t="str">
        <ns0:v>2026年9月4日取得の200作品。中心活動に、能力・目的・見せ方・主要人物の性格・関係を重ねて記載。要素数は作品ごとに異なります。</ns0:v>
      </ns0:c>
      <ns0:c r="U2" s="66" t="str">
        <ns0:v>2026年9月4日取得の200作品。中心活動に、能力・目的・見せ方・主要人物の性格・関係を重ねて記載。要素数は作品ごとに異なります。</ns0:v>
      </ns0:c>
      <ns0:c r="V2" s="66" t="str">
        <ns0:v>2026年9月4日取得の200作品。中心活動に、能力・目的・見せ方・主要人物の性格・関係を重ねて記載。要素数は作品ごとに異なります。</ns0:v>
      </ns0:c>
      <ns0:c r="W2" s="66" t="str">
        <ns0:v>2026年9月4日取得の200作品。中心活動に、能力・目的・見せ方・主要人物の性格・関係を重ねて記載。要素数は作品ごとに異なります。</ns0:v>
      </ns0:c>
      <ns0:c r="X2" s="66" t="str">
        <ns0:v>2026年9月4日取得の200作品。中心活動に、能力・目的・見せ方・主要人物の性格・関係を重ねて記載。要素数は作品ごとに異なります。</ns0:v>
      </ns0:c>
      <ns0:c r="Y2" s="66" t="str">
        <ns0:v>2026年9月4日取得の200作品。中心活動に、能力・目的・見せ方・主要人物の性格・関係を重ねて記載。要素数は作品ごとに異なります。</ns0:v>
      </ns0:c>
    </ns0:row>
    <ns0:row r="3" ht="30" customHeight="1">
      <ns0:c r="A3" s="21" t="s">
        <ns0:v>2008</ns0:v>
      </ns0:c>
      <ns0:c r="B3" s="21" t="s">
        <ns0:v>2008</ns0:v>
      </ns0:c>
      <ns0:c r="C3" s="21" t="s">
        <ns0:v>2008</ns0:v>
      </ns0:c>
      <ns0:c r="D3" s="21" t="s">
        <ns0:v>2008</ns0:v>
      </ns0:c>
      <ns0:c r="E3" s="21" t="s">
        <ns0:v>2008</ns0:v>
      </ns0:c>
      <ns0:c r="F3" s="21" t="s">
        <ns0:v>2008</ns0:v>
      </ns0:c>
      <ns0:c r="G3" s="21" t="s">
        <ns0:v>2008</ns0:v>
      </ns0:c>
      <ns0:c r="H3" s="2"/>
      <ns0:c r="I3" s="2"/>
      <ns0:c r="J3" s="2"/>
      <ns0:c r="K3" s="2"/>
      <ns0:c r="L3" s="2"/>
      <ns0:c r="M3" s="2"/>
      <ns0:c r="N3" s="2"/>
      <ns0:c r="O3" s="2"/>
      <ns0:c r="P3" s="2"/>
      <ns0:c r="Q3" s="2"/>
      <ns0:c r="R3" s="2"/>
      <ns0:c r="S3" s="66" t="str">
        <ns0:v>T・U列の人物情報は紹介文等に基づく判定。V・W列は要素間の関係から考えた読者満足の仮説で、人気の原因を実証したものではありません。</ns0:v>
      </ns0:c>
      <ns0:c r="T3" s="66" t="str">
        <ns0:v>T・U列の人物情報は紹介文等に基づく判定。V・W列は要素間の関係から考えた読者満足の仮説で、人気の原因を実証したものではありません。</ns0:v>
      </ns0:c>
      <ns0:c r="U3" s="66" t="str">
        <ns0:v>T・U列の人物情報は紹介文等に基づく判定。V・W列は要素間の関係から考えた読者満足の仮説で、人気の原因を実証したものではありません。</ns0:v>
      </ns0:c>
      <ns0:c r="V3" s="66" t="str">
        <ns0:v>T・U列の人物情報は紹介文等に基づく判定。V・W列は要素間の関係から考えた読者満足の仮説で、人気の原因を実証したものではありません。</ns0:v>
      </ns0:c>
      <ns0:c r="W3" s="66" t="str">
        <ns0:v>T・U列の人物情報は紹介文等に基づく判定。V・W列は要素間の関係から考えた読者満足の仮説で、人気の原因を実証したものではありません。</ns0:v>
      </ns0:c>
      <ns0:c r="X3" s="66" t="str">
        <ns0:v>T・U列の人物情報は紹介文等に基づく判定。V・W列は要素間の関係から考えた読者満足の仮説で、人気の原因を実証したものではありません。</ns0:v>
      </ns0:c>
      <ns0:c r="Y3" s="66" t="str">
        <ns0:v>T・U列の人物情報は紹介文等に基づく判定。V・W列は要素間の関係から考えた読者満足の仮説で、人気の原因を実証したものではありません。</ns0:v>
      </ns0:c>
    </ns0:row>
    <ns0:row r="4" ht="30" customHeight="1">
      <ns0:c r="A4" s="21" t="s">
        <ns0:v>2009</ns0:v>
      </ns0:c>
      <ns0:c r="B4" s="21" t="s">
        <ns0:v>2009</ns0:v>
      </ns0:c>
      <ns0:c r="C4" s="21" t="s">
        <ns0:v>2009</ns0:v>
      </ns0:c>
      <ns0:c r="D4" s="21" t="s">
        <ns0:v>2009</ns0:v>
      </ns0:c>
      <ns0:c r="E4" s="21" t="s">
        <ns0:v>2009</ns0:v>
      </ns0:c>
      <ns0:c r="F4" s="21" t="s">
        <ns0:v>2009</ns0:v>
      </ns0:c>
      <ns0:c r="G4" s="21" t="s">
        <ns0:v>2009</ns0:v>
      </ns0:c>
      <ns0:c r="H4" s="2"/>
      <ns0:c r="I4" s="2"/>
      <ns0:c r="J4" s="2"/>
      <ns0:c r="K4" s="2"/>
      <ns0:c r="L4" s="2"/>
      <ns0:c r="M4" s="2"/>
      <ns0:c r="N4" s="2"/>
      <ns0:c r="O4" s="2"/>
      <ns0:c r="P4" s="2"/>
      <ns0:c r="Q4" s="2"/>
      <ns0:c r="R4" s="2"/>
      <ns0:c r="S4" s="66" t="str">
        <ns0:v>出典は同じ行のM・N・O・Q列と「あらすじ全文」。本文未読。未確認の性格は補わず、タグだけのヤンデレ等には対象人物の未確認を明記。</ns0:v>
      </ns0:c>
      <ns0:c r="T4" s="66" t="str">
        <ns0:v>出典は同じ行のM・N・O・Q列と「あらすじ全文」。本文未読。未確認の性格は補わず、タグだけのヤンデレ等には対象人物の未確認を明記。</ns0:v>
      </ns0:c>
      <ns0:c r="U4" s="66" t="str">
        <ns0:v>出典は同じ行のM・N・O・Q列と「あらすじ全文」。本文未読。未確認の性格は補わず、タグだけのヤンデレ等には対象人物の未確認を明記。</ns0:v>
      </ns0:c>
      <ns0:c r="V4" s="66" t="str">
        <ns0:v>出典は同じ行のM・N・O・Q列と「あらすじ全文」。本文未読。未確認の性格は補わず、タグだけのヤンデレ等には対象人物の未確認を明記。</ns0:v>
      </ns0:c>
      <ns0:c r="W4" s="66" t="str">
        <ns0:v>出典は同じ行のM・N・O・Q列と「あらすじ全文」。本文未読。未確認の性格は補わず、タグだけのヤンデレ等には対象人物の未確認を明記。</ns0:v>
      </ns0:c>
      <ns0:c r="X4" s="66" t="str">
        <ns0:v>出典は同じ行のM・N・O・Q列と「あらすじ全文」。本文未読。未確認の性格は補わず、タグだけのヤンデレ等には対象人物の未確認を明記。</ns0:v>
      </ns0:c>
      <ns0:c r="Y4" s="66" t="str">
        <ns0:v>出典は同じ行のM・N・O・Q列と「あらすじ全文」。本文未読。未確認の性格は補わず、タグだけのヤンデレ等には対象人物の未確認を明記。</ns0:v>
      </ns0:c>
    </ns0:row>
    <ns0:row r="5" ht="36" customHeight="1">
      <ns0:c r="A5" s="8" t="s">
        <ns0:v>2010</ns0:v>
      </ns0:c>
      <ns0:c r="B5" s="8" t="s">
        <ns0:v>2011</ns0:v>
      </ns0:c>
      <ns0:c r="C5" s="8" t="s">
        <ns0:v>2012</ns0:v>
      </ns0:c>
      <ns0:c r="D5" s="8" t="s">
        <ns0:v>2013</ns0:v>
      </ns0:c>
      <ns0:c r="E5" s="8" t="s">
        <ns0:v>2014</ns0:v>
      </ns0:c>
      <ns0:c r="F5" s="8" t="s">
        <ns0:v>2015</ns0:v>
      </ns0:c>
      <ns0:c r="G5" s="8" t="s">
        <ns0:v>2016</ns0:v>
      </ns0:c>
      <ns0:c r="H5" s="8" t="s">
        <ns0:v>2017</ns0:v>
      </ns0:c>
      <ns0:c r="I5" s="8" t="s">
        <ns0:v>2018</ns0:v>
      </ns0:c>
      <ns0:c r="J5" s="8" t="s">
        <ns0:v>2019</ns0:v>
      </ns0:c>
      <ns0:c r="K5" s="8" t="s">
        <ns0:v>2020</ns0:v>
      </ns0:c>
      <ns0:c r="L5" s="8" t="s">
        <ns0:v>2021</ns0:v>
      </ns0:c>
      <ns0:c r="M5" s="8" t="s">
        <ns0:v>2022</ns0:v>
      </ns0:c>
      <ns0:c r="N5" s="8" t="s">
        <ns0:v>2023</ns0:v>
      </ns0:c>
      <ns0:c r="O5" s="8" t="s">
        <ns0:v>2024</ns0:v>
      </ns0:c>
      <ns0:c r="P5" s="8" t="s">
        <ns0:v>2025</ns0:v>
      </ns0:c>
      <ns0:c r="Q5" s="8" t="s">
        <ns0:v>2026</ns0:v>
      </ns0:c>
      <ns0:c r="R5" s="8" t="s">
        <ns0:v>2027</ns0:v>
      </ns0:c>
      <ns0:c r="S5" s="68" t="str">
        <ns0:v>ベース×主要要素（性格の持ち主を明記）</ns0:v>
      </ns0:c>
      <ns0:c r="T5" s="68" t="str">
        <ns0:v>主人公の性格・行動傾向</ns0:v>
      </ns0:c>
      <ns0:c r="U5" s="68" t="str">
        <ns0:v>相手役の性格・行動傾向</ns0:v>
      </ns0:c>
      <ns0:c r="V5" s="68" t="str">
        <ns0:v>面白さを生む要素の関係</ns0:v>
      </ns0:c>
      <ns0:c r="W5" s="68" t="str">
        <ns0:v>読者が待つ反応・達成</ns0:v>
      </ns0:c>
      <ns0:c r="X5" s="68" t="str">
        <ns0:v>成功後の変化・変奏の余地</ns0:v>
      </ns0:c>
      <ns0:c r="Y5" s="68" t="str">
        <ns0:v>根拠と未確認事項</ns0:v>
      </ns0:c>
    </ns0:row>
    <ns0:row r="6" ht="67.95" customHeight="1">
      <ns0:c r="A6" s="2" t="s">
        <ns0:v>17</ns0:v>
      </ns0:c>
      <ns0:c r="B6" s="4">
        <ns0:v>1</ns0:v>
      </ns0:c>
      <ns0:c r="C6" s="2" t="s">
        <ns0:v>19</ns0:v>
      </ns0:c>
      <ns0:c r="D6" s="6" t="s">
        <ns0:v>2028</ns0:v>
      </ns0:c>
      <ns0:c r="E6" s="6" t="s">
        <ns0:v>2029</ns0:v>
      </ns0:c>
      <ns0:c r="F6" s="6" t="s">
        <ns0:v>2030</ns0:v>
      </ns0:c>
      <ns0:c r="G6" s="9" t="s">
        <ns0:v>2031</ns0:v>
      </ns0:c>
      <ns0:c r="H6" s="9" t="s">
        <ns0:v>2029</ns0:v>
      </ns0:c>
      <ns0:c r="I6" s="2" t="s">
        <ns0:v>2032</ns0:v>
      </ns0:c>
      <ns0:c r="J6" s="2" t="s">
        <ns0:v>2033</ns0:v>
      </ns0:c>
      <ns0:c r="K6" s="2" t="s">
        <ns0:v>2034</ns0:v>
      </ns0:c>
      <ns0:c r="L6" s="2" t="s">
        <ns0:v>2035</ns0:v>
      </ns0:c>
      <ns0:c r="M6" s="5" t="s">
        <ns0:v>21</ns0:v>
      </ns0:c>
      <ns0:c r="N6" s="7" t="s">
        <ns0:v>22</ns0:v>
      </ns0:c>
      <ns0:c r="O6" s="7" t="s">
        <ns0:v>24</ns0:v>
      </ns0:c>
      <ns0:c r="P6" s="7" t="s">
        <ns0:v>2036</ns0:v>
      </ns0:c>
      <ns0:c r="Q6" s="7" t="s">
        <ns0:v>2037</ns0:v>
      </ns0:c>
      <ns0:c r="R6" s="7" t="s">
        <ns0:v>1844</ns0:v>
      </ns0:c>
      <ns0:c r="S6" s="70" t="str">
        <ns0:v>育成×講座配信×指導力の再評価×自己評価の低い主人公×先生を探し出す教え子</ns0:v>
      </ns0:c>
      <ns0:c r="T6" s="69" t="str">
        <ns0:v>指導の価値に無自覚。自分は何者にもなれなかったと考える。</ns0:v>
      </ns0:c>
      <ns0:c r="U6" s="69" t="str">
        <ns0:v>元教え子が自ら接触する。各人の性格や独立時の事情は未確認。</ns0:v>
      </ns0:c>
      <ns0:c r="V6" s="69" t="str">
        <ns0:v>本人の戦闘力では評価されない技能を、初心者の成長と既存の教え子の実力が証明する。</ns0:v>
      </ns0:c>
      <ns0:c r="W6" s="69" t="str">
        <ns0:v>読者には見えている貢献に、本人・教え子・業界がどう気づくか。</ns0:v>
      </ns0:c>
      <ns0:c r="X6" s="69" t="str">
        <ns0:v>指導法の普及は示される。教え子との関係や教え方がその後どう変わるかは未確認。</ns0:v>
      </ns0:c>
      <ns0:c r="Y6" s="71" t="str">
        <ns0:v>紹介文の自己評価と指導行動が根拠。教え子を一律に薄情・ヤンデレとは判定しない。</ns0:v>
      </ns0:c>
    </ns0:row>
    <ns0:row r="7" ht="64.05000305175781" customHeight="1">
      <ns0:c r="A7" s="2" t="s">
        <ns0:v>17</ns0:v>
      </ns0:c>
      <ns0:c r="B7" s="4">
        <ns0:v>2</ns0:v>
      </ns0:c>
      <ns0:c r="C7" s="2" t="s">
        <ns0:v>26</ns0:v>
      </ns0:c>
      <ns0:c r="D7" s="6" t="s">
        <ns0:v>2038</ns0:v>
      </ns0:c>
      <ns0:c r="E7" s="6" t="s">
        <ns0:v>2039</ns0:v>
      </ns0:c>
      <ns0:c r="F7" s="6"/>
      <ns0:c r="G7" s="2" t="s">
        <ns0:v>2040</ns0:v>
      </ns0:c>
      <ns0:c r="H7" s="2"/>
      <ns0:c r="I7" s="2" t="s">
        <ns0:v>2041</ns0:v>
      </ns0:c>
      <ns0:c r="J7" s="2" t="s">
        <ns0:v>2042</ns0:v>
      </ns0:c>
      <ns0:c r="K7" s="2" t="s">
        <ns0:v>2043</ns0:v>
      </ns0:c>
      <ns0:c r="L7" s="2" t="s">
        <ns0:v>2035</ns0:v>
      </ns0:c>
      <ns0:c r="M7" s="5" t="s">
        <ns0:v>28</ns0:v>
      </ns0:c>
      <ns0:c r="N7" s="7" t="s">
        <ns0:v>29</ns0:v>
      </ns0:c>
      <ns0:c r="O7" s="7" t="s">
        <ns0:v>31</ns0:v>
      </ns0:c>
      <ns0:c r="P7" s="7" t="s">
        <ns0:v>2036</ns0:v>
      </ns0:c>
      <ns0:c r="Q7" s="7" t="s">
        <ns0:v>2037</ns0:v>
      </ns0:c>
      <ns0:c r="R7" s="7" t="s">
        <ns0:v>1865</ns0:v>
      </ns0:c>
      <ns0:c r="S7" s="73" t="str">
        <ns0:v>生存×回帰備蓄×社会崩壊×人間不信の合理主義者×奪う者・裏切る者</ns0:v>
      </ns0:c>
      <ns0:c r="T7" s="72" t="str">
        <ns0:v>裏切りを経験し、助ける相手を選び対価を求める。</ns0:v>
      </ns0:c>
      <ns0:c r="U7" s="72" t="str">
        <ns0:v>周囲には略奪・服従・裏切りを選ぶ人々。個別の人物像は未確認。</ns0:v>
      </ns0:c>
      <ns0:c r="V7" s="72" t="str">
        <ns0:v>物資の余裕だけでなく、誰を信用しどこまで見捨てるかが生存の判断になる。</ns0:v>
      </ns0:c>
      <ns0:c r="W7" s="72" t="str">
        <ns0:v>備えが役立つ安堵と、合理を優先した判断が人間関係をどう変えるか。</ns0:v>
      </ns0:c>
      <ns0:c r="X7" s="72" t="str">
        <ns0:v>生存後の新秩序まで予告。備蓄の使い方から集団のルールへ判断対象が広がる。</ns0:v>
      </ns0:c>
      <ns0:c r="Y7" s="74" t="str">
        <ns0:v>合理主義・選別は紹介文に明記。単純な善人主人公の救済ものにはしない。</ns0:v>
      </ns0:c>
    </ns0:row>
    <ns0:row r="8" ht="64.05000305175781" customHeight="1">
      <ns0:c r="A8" s="2" t="s">
        <ns0:v>17</ns0:v>
      </ns0:c>
      <ns0:c r="B8" s="4">
        <ns0:v>3</ns0:v>
      </ns0:c>
      <ns0:c r="C8" s="2" t="s">
        <ns0:v>32</ns0:v>
      </ns0:c>
      <ns0:c r="D8" s="6" t="s">
        <ns0:v>2044</ns0:v>
      </ns0:c>
      <ns0:c r="E8" s="6" t="s">
        <ns0:v>2029</ns0:v>
      </ns0:c>
      <ns0:c r="F8" s="6"/>
      <ns0:c r="G8" s="9" t="s">
        <ns0:v>2031</ns0:v>
      </ns0:c>
      <ns0:c r="H8" s="9" t="s">
        <ns0:v>2029</ns0:v>
      </ns0:c>
      <ns0:c r="I8" s="2" t="s">
        <ns0:v>2045</ns0:v>
      </ns0:c>
      <ns0:c r="J8" s="2" t="s">
        <ns0:v>2046</ns0:v>
      </ns0:c>
      <ns0:c r="K8" s="2" t="s">
        <ns0:v>2047</ns0:v>
      </ns0:c>
      <ns0:c r="L8" s="2" t="s">
        <ns0:v>2035</ns0:v>
      </ns0:c>
      <ns0:c r="M8" s="5" t="s">
        <ns0:v>34</ns0:v>
      </ns0:c>
      <ns0:c r="N8" s="7" t="s">
        <ns0:v>35</ns0:v>
      </ns0:c>
      <ns0:c r="O8" s="7" t="s">
        <ns0:v>37</ns0:v>
      </ns0:c>
      <ns0:c r="P8" s="7" t="s">
        <ns0:v>2036</ns0:v>
      </ns0:c>
      <ns0:c r="Q8" s="7" t="s">
        <ns0:v>2037</ns0:v>
      </ns0:c>
      <ns0:c r="R8" s="7" t="s">
        <ns0:v>1869</ns0:v>
      </ns0:c>
      <ns0:c r="S8" s="70" t="str">
        <ns0:v>討伐配信×無双×本性露見×ゲーム好きで短気な主人公×バーサーカー気質の女性</ns0:v>
      </ns0:c>
      <ns0:c r="T8" s="69" t="str">
        <ns0:v>普段は穏やかに配信するが、苛立つと暴言と蹂躙に走る。課金に弱い。</ns0:v>
      </ns0:c>
      <ns0:c r="U8" s="69" t="str">
        <ns0:v>バーサーカー気質の女性が登場。ヤンデレ・お嬢様もタグにあるが対応人物は一部不明。</ns0:v>
      </ns0:c>
      <ns0:c r="V8" s="69" t="str">
        <ns0:v>隠したい荒い本性が討伐の爽快さとして歓迎され、ゲーム資金にもなるため活動を続ける。</ns0:v>
      </ns0:c>
      <ns0:c r="W8" s="69" t="str">
        <ns0:v>穏やかな配信者像が崩れる笑いと、恐れられた魔物を徹底的に倒す快感。</ns0:v>
      </ns0:c>
      <ns0:c r="X8" s="69" t="str">
        <ns0:v>戦いと課金資金の循環はある。個性の強い相手による変奏は紹介段階では未確認。</ns0:v>
      </ns0:c>
      <ns0:c r="Y8" s="71" t="str">
        <ns0:v>主人公の暴言・ゲーム優先、相手のバーサーカー気質は紹介文。ヤンデレはタグ根拠。</ns0:v>
      </ns0:c>
    </ns0:row>
    <ns0:row r="9" ht="67.95" customHeight="1">
      <ns0:c r="A9" s="2" t="s">
        <ns0:v>17</ns0:v>
      </ns0:c>
      <ns0:c r="B9" s="4">
        <ns0:v>4</ns0:v>
      </ns0:c>
      <ns0:c r="C9" s="2" t="s">
        <ns0:v>38</ns0:v>
      </ns0:c>
      <ns0:c r="D9" s="6" t="s">
        <ns0:v>2048</ns0:v>
      </ns0:c>
      <ns0:c r="E9" s="6" t="s">
        <ns0:v>2049</ns0:v>
      </ns0:c>
      <ns0:c r="F9" s="6" t="s">
        <ns0:v>2050</ns0:v>
      </ns0:c>
      <ns0:c r="G9" s="2" t="s">
        <ns0:v>2040</ns0:v>
      </ns0:c>
      <ns0:c r="H9" s="2"/>
      <ns0:c r="I9" s="2" t="s">
        <ns0:v>2051</ns0:v>
      </ns0:c>
      <ns0:c r="J9" s="2" t="s">
        <ns0:v>2052</ns0:v>
      </ns0:c>
      <ns0:c r="K9" s="2" t="s">
        <ns0:v>2053</ns0:v>
      </ns0:c>
      <ns0:c r="L9" s="2" t="s">
        <ns0:v>2035</ns0:v>
      </ns0:c>
      <ns0:c r="M9" s="5" t="s">
        <ns0:v>40</ns0:v>
      </ns0:c>
      <ns0:c r="N9" s="7" t="s">
        <ns0:v>41</ns0:v>
      </ns0:c>
      <ns0:c r="O9" s="7" t="s">
        <ns0:v>43</ns0:v>
      </ns0:c>
      <ns0:c r="P9" s="7" t="s">
        <ns0:v>2036</ns0:v>
      </ns0:c>
      <ns0:c r="Q9" s="7" t="s">
        <ns0:v>2037</ns0:v>
      </ns0:c>
      <ns0:c r="R9" s="7" t="s">
        <ns0:v>1882</ns0:v>
      </ns0:c>
      <ns0:c r="S9" s="73" t="str">
        <ns0:v>薬の製造販売×救命×無自覚チート×初心者思いのおっさん×利益優先の古巣</ns0:v>
      </ns0:c>
      <ns0:c r="T9" s="72" t="str">
        <ns0:v>初心者が薬代で命を失うことを許せず、安く届けることを優先する。</ns0:v>
      </ns0:c>
      <ns0:c r="U9" s="72" t="str">
        <ns0:v>古巣は利益を優先して解雇。購入者は治癒効果を報告する。</ns0:v>
      </ns0:c>
      <ns0:c r="V9" s="72" t="str">
        <ns0:v>利益にならないとされた安売りの善意が、多くの人を救い製品の価値を証明する。</ns0:v>
      </ns0:c>
      <ns0:c r="W9" s="72" t="str">
        <ns0:v>初心者に薬が届く安心と、本人が知らない有用性が伝わる過程。</ns0:v>
      </ns0:c>
      <ns0:c r="X9" s="72" t="str">
        <ns0:v>口コミで必需品化する。供給や顧客との関係に何が残るかは本文未確認。</ns0:v>
      </ns0:c>
      <ns0:c r="Y9" s="74" t="str">
        <ns0:v>安価な薬へのこだわりと追加発送の行動が根拠。相手役の恋愛性格は不明。</ns0:v>
      </ns0:c>
    </ns0:row>
    <ns0:row r="10" ht="64.05000305175781" customHeight="1">
      <ns0:c r="A10" s="2" t="s">
        <ns0:v>17</ns0:v>
      </ns0:c>
      <ns0:c r="B10" s="4">
        <ns0:v>5</ns0:v>
      </ns0:c>
      <ns0:c r="C10" s="2" t="s">
        <ns0:v>45</ns0:v>
      </ns0:c>
      <ns0:c r="D10" s="6" t="s">
        <ns0:v>2054</ns0:v>
      </ns0:c>
      <ns0:c r="E10" s="6" t="s">
        <ns0:v>2029</ns0:v>
      </ns0:c>
      <ns0:c r="F10" s="6" t="s">
        <ns0:v>2030</ns0:v>
      </ns0:c>
      <ns0:c r="G10" s="9" t="s">
        <ns0:v>2031</ns0:v>
      </ns0:c>
      <ns0:c r="H10" s="9" t="s">
        <ns0:v>2029</ns0:v>
      </ns0:c>
      <ns0:c r="I10" s="2" t="s">
        <ns0:v>2055</ns0:v>
      </ns0:c>
      <ns0:c r="J10" s="2" t="s">
        <ns0:v>2056</ns0:v>
      </ns0:c>
      <ns0:c r="K10" s="2" t="s">
        <ns0:v>2057</ns0:v>
      </ns0:c>
      <ns0:c r="L10" s="2" t="s">
        <ns0:v>2035</ns0:v>
      </ns0:c>
      <ns0:c r="M10" s="5" t="s">
        <ns0:v>47</ns0:v>
      </ns0:c>
      <ns0:c r="N10" s="7" t="s">
        <ns0:v>48</ns0:v>
      </ns0:c>
      <ns0:c r="O10" s="7" t="s">
        <ns0:v>50</ns0:v>
      </ns0:c>
      <ns0:c r="P10" s="7" t="s">
        <ns0:v>2036</ns0:v>
      </ns0:c>
      <ns0:c r="Q10" s="7" t="s">
        <ns0:v>2037</ns0:v>
      </ns0:c>
      <ns0:c r="R10" s="7" t="s">
        <ns0:v>1883</ns0:v>
      </ns0:c>
      <ns0:c r="S10" s="70" t="str">
        <ns0:v>探索配信×隠れた実力×難度の認識差×遊び場感覚の主人公×驚く専門家・視聴者</ns0:v>
      </ns0:c>
      <ns0:c r="T10" s="69" t="str">
        <ns0:v>七年通った場所を秘密基地のように楽しみ、軽い気持ちで配信する。</ns0:v>
      </ns0:c>
      <ns0:c r="U10" s="69" t="str">
        <ns0:v>配信を見る外部の人々が価値と難度を知る。主要相手の性格は未確認。</ns0:v>
      </ns0:c>
      <ns0:c r="V10" s="69" t="str">
        <ns0:v>本人にとって日常の行動を、外部の尺度で見ると異常な攻略になる。</ns0:v>
      </ns0:c>
      <ns0:c r="W10" s="69" t="str">
        <ns0:v>普段着や捨て置く品から、遊び場の本当の価値がどこまで分かるか。</ns0:v>
      </ns0:c>
      <ns0:c r="X10" s="69" t="str">
        <ns0:v>未知の深部への挑戦は予告される。驚く観客の交代だけに終わらないかは未確認。</ns0:v>
      </ns0:c>
      <ns0:c r="Y10" s="71" t="str">
        <ns0:v>遊び場扱いと配信開始の態度が根拠。社交的・コミュ障などは未確認。</ns0:v>
      </ns0:c>
    </ns0:row>
    <ns0:row r="11" ht="64.05000305175781" customHeight="1">
      <ns0:c r="A11" s="2" t="s">
        <ns0:v>17</ns0:v>
      </ns0:c>
      <ns0:c r="B11" s="4">
        <ns0:v>6</ns0:v>
      </ns0:c>
      <ns0:c r="C11" s="2" t="s">
        <ns0:v>51</ns0:v>
      </ns0:c>
      <ns0:c r="D11" s="6" t="s">
        <ns0:v>2058</ns0:v>
      </ns0:c>
      <ns0:c r="E11" s="6" t="s">
        <ns0:v>2050</ns0:v>
      </ns0:c>
      <ns0:c r="F11" s="6"/>
      <ns0:c r="G11" s="9" t="s">
        <ns0:v>2059</ns0:v>
      </ns0:c>
      <ns0:c r="H11" s="9" t="s">
        <ns0:v>2058</ns0:v>
      </ns0:c>
      <ns0:c r="I11" s="2" t="s">
        <ns0:v>2060</ns0:v>
      </ns0:c>
      <ns0:c r="J11" s="2" t="s">
        <ns0:v>2061</ns0:v>
      </ns0:c>
      <ns0:c r="K11" s="2" t="s">
        <ns0:v>2062</ns0:v>
      </ns0:c>
      <ns0:c r="L11" s="2" t="s">
        <ns0:v>2035</ns0:v>
      </ns0:c>
      <ns0:c r="M11" s="5" t="s">
        <ns0:v>53</ns0:v>
      </ns0:c>
      <ns0:c r="N11" s="7" t="s">
        <ns0:v>54</ns0:v>
      </ns0:c>
      <ns0:c r="O11" s="7" t="s">
        <ns0:v>56</ns0:v>
      </ns0:c>
      <ns0:c r="P11" s="7" t="s">
        <ns0:v>2036</ns0:v>
      </ns0:c>
      <ns0:c r="Q11" s="7" t="s">
        <ns0:v>2037</ns0:v>
      </ns0:c>
      <ns0:c r="R11" s="7" t="s">
        <ns0:v>1833</ns0:v>
      </ns0:c>
      <ns0:c r="S11" s="73" t="str">
        <ns0:v>防衛×安全な居場所×支援撤回ざまぁ×復讐より保護を選ぶ主人公×功績を奪う古巣</ns0:v>
      </ns0:c>
      <ns0:c r="T11" s="72" t="str">
        <ns0:v>自分を捨てた相手への報復より、守る相手を選んで保護する。</ns0:v>
      </ns0:c>
      <ns0:c r="U11" s="72" t="str">
        <ns0:v>古巣は防御を軽視し功績を詐称する。避難者の個別性格は不明。</ns0:v>
      </ns0:c>
      <ns0:c r="V11" s="72" t="str">
        <ns0:v>見栄えのしない防御の価値が、守られた場所と支援を失った場所の差で可視化される。</ns0:v>
      </ns0:c>
      <ns0:c r="W11" s="72" t="str">
        <ns0:v>何も起こらない安全のありがたさと、それを当然視した側の認識が変わること。</ns0:v>
      </ns0:c>
      <ns0:c r="X11" s="72" t="str">
        <ns0:v>避難者が増えて保護の対象が広がる。共同体内の関係の発展は未確認。</ns0:v>
      </ns0:c>
      <ns0:c r="Y11" s="74" t="str">
        <ns0:v>復讐しないという明記が根拠。無欲・温厚などの追加性格は断定しない。</ns0:v>
      </ns0:c>
    </ns0:row>
    <ns0:row r="12" ht="64.05000305175781" customHeight="1">
      <ns0:c r="A12" s="2" t="s">
        <ns0:v>17</ns0:v>
      </ns0:c>
      <ns0:c r="B12" s="4">
        <ns0:v>7</ns0:v>
      </ns0:c>
      <ns0:c r="C12" s="2" t="s">
        <ns0:v>57</ns0:v>
      </ns0:c>
      <ns0:c r="D12" s="6" t="s">
        <ns0:v>2063</ns0:v>
      </ns0:c>
      <ns0:c r="E12" s="6" t="s">
        <ns0:v>2044</ns0:v>
      </ns0:c>
      <ns0:c r="F12" s="6"/>
      <ns0:c r="G12" s="2" t="s">
        <ns0:v>2040</ns0:v>
      </ns0:c>
      <ns0:c r="H12" s="2"/>
      <ns0:c r="I12" s="2" t="s">
        <ns0:v>2064</ns0:v>
      </ns0:c>
      <ns0:c r="J12" s="2" t="s">
        <ns0:v>2065</ns0:v>
      </ns0:c>
      <ns0:c r="K12" s="2" t="s">
        <ns0:v>2066</ns0:v>
      </ns0:c>
      <ns0:c r="L12" s="2" t="s">
        <ns0:v>2035</ns0:v>
      </ns0:c>
      <ns0:c r="M12" s="5" t="s">
        <ns0:v>59</ns0:v>
      </ns0:c>
      <ns0:c r="N12" s="7" t="s">
        <ns0:v>60</ns0:v>
      </ns0:c>
      <ns0:c r="O12" s="7" t="s">
        <ns0:v>62</ns0:v>
      </ns0:c>
      <ns0:c r="P12" s="7" t="s">
        <ns0:v>2036</ns0:v>
      </ns0:c>
      <ns0:c r="Q12" s="7" t="s">
        <ns0:v>2037</ns0:v>
      </ns0:c>
      <ns0:c r="R12" s="7" t="s">
        <ns0:v>1819</ns0:v>
      </ns0:c>
      <ns0:c r="S12" s="70" t="str">
        <ns0:v>日常×帰還最強×学校での低評価×生活優先の主人公×苛烈に鍛える妖怪たち</ns0:v>
      </ns0:c>
      <ns0:c r="T12" s="69" t="str">
        <ns0:v>理不尽な挑発より、稼ぐことや妹の待つ生活へ戻ることを優先する。</ns0:v>
      </ns0:c>
      <ns0:c r="U12" s="69" t="str">
        <ns0:v>妖怪の師たちは過酷な修行を課す。現代の主要相手役の性格は不明。</ns0:v>
      </ns0:c>
      <ns0:c r="V12" s="69" t="str">
        <ns0:v>圧倒的な力を得ても欲しいのは普通の生活なので、学校の序列や挑発との温度差が出る。</ns0:v>
      </ns0:c>
      <ns0:c r="W12" s="69" t="str">
        <ns0:v>小さな威圧が通じない余裕と、日常を取り戻せるか。</ns0:v>
      </ns0:c>
      <ns0:c r="X12" s="69" t="str">
        <ns0:v>現代生活への復帰は明記。修行済みの力が新しい関係をどう作るかは未確認。</ns0:v>
      </ns0:c>
      <ns0:c r="Y12" s="71" t="str">
        <ns0:v>キャッチの呼び出し拒否と紹介文の生活目標からの解釈。師の性格は前史。</ns0:v>
      </ns0:c>
    </ns0:row>
    <ns0:row r="13" ht="64.05000305175781" customHeight="1">
      <ns0:c r="A13" s="2" t="s">
        <ns0:v>17</ns0:v>
      </ns0:c>
      <ns0:c r="B13" s="4">
        <ns0:v>8</ns0:v>
      </ns0:c>
      <ns0:c r="C13" s="2" t="s">
        <ns0:v>63</ns0:v>
      </ns0:c>
      <ns0:c r="D13" s="6" t="s">
        <ns0:v>2044</ns0:v>
      </ns0:c>
      <ns0:c r="E13" s="6" t="s">
        <ns0:v>2050</ns0:v>
      </ns0:c>
      <ns0:c r="F13" s="6" t="s">
        <ns0:v>2063</ns0:v>
      </ns0:c>
      <ns0:c r="G13" s="2" t="s">
        <ns0:v>2040</ns0:v>
      </ns0:c>
      <ns0:c r="H13" s="2"/>
      <ns0:c r="I13" s="2" t="s">
        <ns0:v>2067</ns0:v>
      </ns0:c>
      <ns0:c r="J13" s="2" t="s">
        <ns0:v>2068</ns0:v>
      </ns0:c>
      <ns0:c r="K13" s="2" t="s">
        <ns0:v>2069</ns0:v>
      </ns0:c>
      <ns0:c r="L13" s="2" t="s">
        <ns0:v>2035</ns0:v>
      </ns0:c>
      <ns0:c r="M13" s="5" t="s">
        <ns0:v>65</ns0:v>
      </ns0:c>
      <ns0:c r="N13" s="7" t="s">
        <ns0:v>66</ns0:v>
      </ns0:c>
      <ns0:c r="O13" s="7" t="s">
        <ns0:v>68</ns0:v>
      </ns0:c>
      <ns0:c r="P13" s="7" t="s">
        <ns0:v>2036</ns0:v>
      </ns0:c>
      <ns0:c r="Q13" s="7" t="s">
        <ns0:v>2037</ns0:v>
      </ns0:c>
      <ns0:c r="R13" s="7" t="s">
        <ns0:v>1891</ns0:v>
      </ns0:c>
      <ns0:c r="S13" s="73" t="str">
        <ns0:v>救助×無双×配信への映り込み×TS少女×深層基準が普通の主人公×もふもふとの暮らし</ns0:v>
      </ns0:c>
      <ns0:c r="T13" s="72" t="str">
        <ns0:v>危険や物の価値を、自分が暮らした深層の基準で自然に判断する。</ns0:v>
      </ns0:c>
      <ns0:c r="U13" s="72" t="str">
        <ns0:v>救われる女性は配信者。相棒モチと本人の細かな性格は未確認。</ns0:v>
      </ns0:c>
      <ns0:c r="V13" s="72" t="str">
        <ns0:v>本人が小さな脅威として片づける救助を、地上の観客は災害級の突破として見る。</ns0:v>
      </ns0:c>
      <ns0:c r="W13" s="72" t="str">
        <ns0:v>日常の尺度がどれほど違うのか、どんな場所で暮らしていたのか。</ns0:v>
      </ns0:c>
      <ns0:c r="X13" s="72" t="str">
        <ns0:v>魔物以外の薬・素材・装備にも認識差を広げると紹介される。</ns0:v>
      </ns0:c>
      <ns0:c r="Y13" s="74" t="str">
        <ns0:v>女性の体・深層生活は属性。コミュ障や無口は紹介にないので付与しない。</ns0:v>
      </ns0:c>
    </ns0:row>
    <ns0:row r="14" ht="64.05000305175781" customHeight="1">
      <ns0:c r="A14" s="2" t="s">
        <ns0:v>17</ns0:v>
      </ns0:c>
      <ns0:c r="B14" s="4">
        <ns0:v>9</ns0:v>
      </ns0:c>
      <ns0:c r="C14" s="2" t="s">
        <ns0:v>69</ns0:v>
      </ns0:c>
      <ns0:c r="D14" s="6" t="s">
        <ns0:v>2054</ns0:v>
      </ns0:c>
      <ns0:c r="E14" s="6" t="s">
        <ns0:v>2044</ns0:v>
      </ns0:c>
      <ns0:c r="F14" s="6" t="s">
        <ns0:v>2029</ns0:v>
      </ns0:c>
      <ns0:c r="G14" s="9" t="s">
        <ns0:v>2031</ns0:v>
      </ns0:c>
      <ns0:c r="H14" s="9" t="s">
        <ns0:v>2029</ns0:v>
      </ns0:c>
      <ns0:c r="I14" s="2" t="s">
        <ns0:v>2070</ns0:v>
      </ns0:c>
      <ns0:c r="J14" s="2" t="s">
        <ns0:v>2071</ns0:v>
      </ns0:c>
      <ns0:c r="K14" s="2" t="s">
        <ns0:v>2072</ns0:v>
      </ns0:c>
      <ns0:c r="L14" s="2" t="s">
        <ns0:v>2035</ns0:v>
      </ns0:c>
      <ns0:c r="M14" s="5" t="s">
        <ns0:v>71</ns0:v>
      </ns0:c>
      <ns0:c r="N14" s="7" t="s">
        <ns0:v>72</ns0:v>
      </ns0:c>
      <ns0:c r="O14" s="7" t="s">
        <ns0:v>74</ns0:v>
      </ns0:c>
      <ns0:c r="P14" s="7" t="s">
        <ns0:v>2036</ns0:v>
      </ns0:c>
      <ns0:c r="Q14" s="7" t="s">
        <ns0:v>2037</ns0:v>
      </ns0:c>
      <ns0:c r="R14" s="7" t="s">
        <ns0:v>1858</ns0:v>
      </ns0:c>
      <ns0:c r="S14" s="70" t="str">
        <ns0:v>VR冒険×配信×熟練無双×帰還勇者×名声より遊びを楽しみたい主人公</ns0:v>
      </ns0:c>
      <ns0:c r="T14" s="69" t="str">
        <ns0:v>命を懸ける冒険を終え、失敗しても仲間にまた会える遊びを喜ぶ。</ns0:v>
      </ns0:c>
      <ns0:c r="U14" s="69" t="str">
        <ns0:v>トップ配信者や対人戦の強者が注目。個別性格は未確認。</ns0:v>
      </ns0:c>
      <ns0:c r="V14" s="69" t="str">
        <ns0:v>本物の死闘で得た技能を安全な遊びに使うため、無双と解放感が結びつく。</ns0:v>
      </ns0:c>
      <ns0:c r="W14" s="69" t="str">
        <ns0:v>強さへの驚きに加え、今度こそ本人が冒険を楽しめるか。</ns0:v>
      </ns0:c>
      <ns0:c r="X14" s="69" t="str">
        <ns0:v>幅広いプレイヤーとの出会いは予告。勝ち続ける以外の交流の変奏は未確認。</ns0:v>
      </ns0:c>
      <ns0:c r="Y14" s="71" t="str">
        <ns0:v>富や名声を求めないこと、失敗可能な遊びへの喜びが紹介文に明記。</ns0:v>
      </ns0:c>
    </ns0:row>
    <ns0:row r="15" ht="64.05000305175781" customHeight="1">
      <ns0:c r="A15" s="2" t="s">
        <ns0:v>17</ns0:v>
      </ns0:c>
      <ns0:c r="B15" s="4">
        <ns0:v>10</ns0:v>
      </ns0:c>
      <ns0:c r="C15" s="2" t="s">
        <ns0:v>75</ns0:v>
      </ns0:c>
      <ns0:c r="D15" s="6" t="s">
        <ns0:v>2073</ns0:v>
      </ns0:c>
      <ns0:c r="E15" s="6" t="s">
        <ns0:v>2044</ns0:v>
      </ns0:c>
      <ns0:c r="F15" s="6"/>
      <ns0:c r="G15" s="2" t="s">
        <ns0:v>2040</ns0:v>
      </ns0:c>
      <ns0:c r="H15" s="2"/>
      <ns0:c r="I15" s="2" t="s">
        <ns0:v>2074</ns0:v>
      </ns0:c>
      <ns0:c r="J15" s="2" t="s">
        <ns0:v>2075</ns0:v>
      </ns0:c>
      <ns0:c r="K15" s="2" t="s">
        <ns0:v>2076</ns0:v>
      </ns0:c>
      <ns0:c r="L15" s="2" t="s">
        <ns0:v>2035</ns0:v>
      </ns0:c>
      <ns0:c r="M15" s="5" t="s">
        <ns0:v>77</ns0:v>
      </ns0:c>
      <ns0:c r="N15" s="7" t="s">
        <ns0:v>78</ns0:v>
      </ns0:c>
      <ns0:c r="O15" s="7" t="s">
        <ns0:v>80</ns0:v>
      </ns0:c>
      <ns0:c r="P15" s="7" t="s">
        <ns0:v>2036</ns0:v>
      </ns0:c>
      <ns0:c r="Q15" s="7" t="s">
        <ns0:v>2037</ns0:v>
      </ns0:c>
      <ns0:c r="R15" s="7" t="s">
        <ns0:v>1840</ns0:v>
      </ns0:c>
      <ns0:c r="S15" s="73" t="str">
        <ns0:v>雪辱×覚醒最強×暴力による地位逆転×公的救済を諦めた主人公</ns0:v>
      </ns0:c>
      <ns0:c r="T15" s="72" t="str">
        <ns0:v>被害を無視された経験から暴力を力の根拠と考え、自ら強くなる道を選ぶ。</ns0:v>
      </ns0:c>
      <ns0:c r="U15" s="72" t="str">
        <ns0:v>理不尽に殴る探索者と対応しない機関が示される。相棒の性格は不明。</ns0:v>
      </ns0:c>
      <ns0:c r="V15" s="72" t="str">
        <ns0:v>守ってくれるはずの仕組みが機能せず、被害者自身が恐れられる力を得る。</ns0:v>
      </ns0:c>
      <ns0:c r="W15" s="72" t="str">
        <ns0:v>泣き寝入りを終えられるか、力を持った後に何を選ぶか。</ns0:v>
      </ns0:c>
      <ns0:c r="X15" s="72" t="str">
        <ns0:v>世界から恐れられる将来は予告。対抗の具体的な反復や関係変化は未確認。</ns0:v>
      </ns0:c>
      <ns0:c r="Y15" s="74" t="str">
        <ns0:v>紹介文の価値観の転換が根拠。単なる冷静・善良という補完はしない。</ns0:v>
      </ns0:c>
    </ns0:row>
    <ns0:row r="16" ht="64.05000305175781" customHeight="1">
      <ns0:c r="A16" s="2" t="s">
        <ns0:v>17</ns0:v>
      </ns0:c>
      <ns0:c r="B16" s="4">
        <ns0:v>11</ns0:v>
      </ns0:c>
      <ns0:c r="C16" s="2" t="s">
        <ns0:v>81</ns0:v>
      </ns0:c>
      <ns0:c r="D16" s="6" t="s">
        <ns0:v>2030</ns0:v>
      </ns0:c>
      <ns0:c r="E16" s="6" t="s">
        <ns0:v>2077</ns0:v>
      </ns0:c>
      <ns0:c r="F16" s="6" t="s">
        <ns0:v>2078</ns0:v>
      </ns0:c>
      <ns0:c r="G16" s="9" t="s">
        <ns0:v>2031</ns0:v>
      </ns0:c>
      <ns0:c r="H16" s="9" t="s">
        <ns0:v>2077</ns0:v>
      </ns0:c>
      <ns0:c r="I16" s="2" t="s">
        <ns0:v>2079</ns0:v>
      </ns0:c>
      <ns0:c r="J16" s="2" t="s">
        <ns0:v>2080</ns0:v>
      </ns0:c>
      <ns0:c r="K16" s="2" t="s">
        <ns0:v>2081</ns0:v>
      </ns0:c>
      <ns0:c r="L16" s="2" t="s">
        <ns0:v>2035</ns0:v>
      </ns0:c>
      <ns0:c r="M16" s="5" t="s">
        <ns0:v>83</ns0:v>
      </ns0:c>
      <ns0:c r="N16" s="7" t="s">
        <ns0:v>84</ns0:v>
      </ns0:c>
      <ns0:c r="O16" s="7" t="s">
        <ns0:v>86</ns0:v>
      </ns0:c>
      <ns0:c r="P16" s="7" t="s">
        <ns0:v>2036</ns0:v>
      </ns0:c>
      <ns0:c r="Q16" s="7" t="s">
        <ns0:v>2037</ns0:v>
      </ns0:c>
      <ns0:c r="R16" s="7" t="s">
        <ns0:v>1822</ns0:v>
      </ns0:c>
      <ns0:c r="S16" s="70" t="str">
        <ns0:v>実務×魔法習得×出世×丁寧で恩義に厚い主人公×節約したい新米召喚士</ns0:v>
      </ns0:c>
      <ns0:c r="T16" s="69" t="str">
        <ns0:v>拾ってくれた社長へ報いるため、荷物を丁寧に扱う。安全な運搬に関心を持つ。</ns0:v>
      </ns0:c>
      <ns0:c r="U16" s="69" t="str">
        <ns0:v>新米召喚士は魔力を節約したくて荷運び用の存在を呼ぶ。</ns0:v>
      </ns0:c>
      <ns0:c r="V16" s="69" t="str">
        <ns0:v>魔法を欲しがる理由が荷物を安全に運びたいことにあり、地道な仕事の姿勢が強化につながる。</ns0:v>
      </ns0:c>
      <ns0:c r="W16" s="69" t="str">
        <ns0:v>普段の仕事で磨いた技量が別の環境で役立ち、待遇を変えること。</ns0:v>
      </ns0:c>
      <ns0:c r="X16" s="69" t="str">
        <ns0:v>身体強化から護衛への役割変化を題名が予告。恋愛関係の進み方は未確認。</ns0:v>
      </ns0:c>
      <ns0:c r="Y16" s="71" t="str">
        <ns0:v>荷物への扱い、恩返し、召喚理由を紹介文で確認。令嬢の性格は不明。</ns0:v>
      </ns0:c>
    </ns0:row>
    <ns0:row r="17" ht="67.95" customHeight="1">
      <ns0:c r="A17" s="2" t="s">
        <ns0:v>17</ns0:v>
      </ns0:c>
      <ns0:c r="B17" s="4">
        <ns0:v>12</ns0:v>
      </ns0:c>
      <ns0:c r="C17" s="2" t="s">
        <ns0:v>87</ns0:v>
      </ns0:c>
      <ns0:c r="D17" s="6" t="s">
        <ns0:v>2044</ns0:v>
      </ns0:c>
      <ns0:c r="E17" s="6" t="s">
        <ns0:v>2082</ns0:v>
      </ns0:c>
      <ns0:c r="F17" s="6" t="s">
        <ns0:v>2029</ns0:v>
      </ns0:c>
      <ns0:c r="G17" s="9" t="s">
        <ns0:v>2031</ns0:v>
      </ns0:c>
      <ns0:c r="H17" s="9" t="s">
        <ns0:v>2029</ns0:v>
      </ns0:c>
      <ns0:c r="I17" s="2" t="s">
        <ns0:v>2083</ns0:v>
      </ns0:c>
      <ns0:c r="J17" s="2" t="s">
        <ns0:v>2084</ns0:v>
      </ns0:c>
      <ns0:c r="K17" s="2" t="s">
        <ns0:v>2085</ns0:v>
      </ns0:c>
      <ns0:c r="L17" s="2" t="s">
        <ns0:v>2035</ns0:v>
      </ns0:c>
      <ns0:c r="M17" s="5" t="s">
        <ns0:v>89</ns0:v>
      </ns0:c>
      <ns0:c r="N17" s="7" t="s">
        <ns0:v>90</ns0:v>
      </ns0:c>
      <ns0:c r="O17" s="7" t="s">
        <ns0:v>92</ns0:v>
      </ns0:c>
      <ns0:c r="P17" s="7" t="s">
        <ns0:v>2036</ns0:v>
      </ns0:c>
      <ns0:c r="Q17" s="7" t="s">
        <ns0:v>2037</ns0:v>
      </ns0:c>
      <ns0:c r="R17" s="7" t="s">
        <ns0:v>1863</ns0:v>
      </ns0:c>
      <ns0:c r="S17" s="73" t="str">
        <ns0:v>討伐配信×永久コンボ無双×兄妹の食卓×妹思いで実用優先の兄×騒ぐ世間</ns0:v>
      </ns0:c>
      <ns0:c r="T17" s="72" t="str">
        <ns0:v>妹に夕飯を食べさせたい。危険な狩りも購入より安いと考える。</ns0:v>
      </ns0:c>
      <ns0:c r="U17" s="72" t="str">
        <ns0:v>妹は多忙なアイドル。本人の性格は未確認。世間にはアンチもいる。</ns0:v>
      </ns0:c>
      <ns0:c r="V17" s="72" t="str">
        <ns0:v>炎上を招くほどの戦闘技術の使い道が、兄妹の夕食という身近な願いになっている。</ns0:v>
      </ns0:c>
      <ns0:c r="W17" s="72" t="str">
        <ns0:v>世間の大騒ぎと本人の家計感覚の落差、食卓へ成果が戻る喜び。</ns0:v>
      </ns0:c>
      <ns0:c r="X17" s="72" t="str">
        <ns0:v>食材を狩る反復は明記。毎回の炎上が関係や選択をどう変えるかは未確認。</ns0:v>
      </ns0:c>
      <ns0:c r="Y17" s="74" t="str">
        <ns0:v>夕食と費用についての紹介が根拠。妹の溺愛・ヤンデレは記載なし。</ns0:v>
      </ns0:c>
    </ns0:row>
    <ns0:row r="18" ht="82.05000305175781" customHeight="1">
      <ns0:c r="A18" s="2" t="s">
        <ns0:v>17</ns0:v>
      </ns0:c>
      <ns0:c r="B18" s="4">
        <ns0:v>13</ns0:v>
      </ns0:c>
      <ns0:c r="C18" s="2" t="s">
        <ns0:v>93</ns0:v>
      </ns0:c>
      <ns0:c r="D18" s="6" t="s">
        <ns0:v>2054</ns0:v>
      </ns0:c>
      <ns0:c r="E18" s="6" t="s">
        <ns0:v>2063</ns0:v>
      </ns0:c>
      <ns0:c r="F18" s="6"/>
      <ns0:c r="G18" s="2" t="s">
        <ns0:v>2040</ns0:v>
      </ns0:c>
      <ns0:c r="H18" s="2"/>
      <ns0:c r="I18" s="2" t="s">
        <ns0:v>2086</ns0:v>
      </ns0:c>
      <ns0:c r="J18" s="2" t="s">
        <ns0:v>2087</ns0:v>
      </ns0:c>
      <ns0:c r="K18" s="2" t="s">
        <ns0:v>2088</ns0:v>
      </ns0:c>
      <ns0:c r="L18" s="2" t="s">
        <ns0:v>2035</ns0:v>
      </ns0:c>
      <ns0:c r="M18" s="5" t="s">
        <ns0:v>95</ns0:v>
      </ns0:c>
      <ns0:c r="N18" s="7" t="s">
        <ns0:v>96</ns0:v>
      </ns0:c>
      <ns0:c r="O18" s="7" t="s">
        <ns0:v>98</ns0:v>
      </ns0:c>
      <ns0:c r="P18" s="7" t="s">
        <ns0:v>2036</ns0:v>
      </ns0:c>
      <ns0:c r="Q18" s="7" t="s">
        <ns0:v>2037</ns0:v>
      </ns0:c>
      <ns0:c r="R18" s="7" t="s">
        <ns0:v>1885</ns0:v>
      </ns0:c>
      <ns0:c r="S18" s="70" t="str">
        <ns0:v>探索×自動化×生活充実×異常事態を楽しむ主人公×増殖するスケルトン軍団</ns0:v>
      </ns0:c>
      <ns0:c r="T18" s="69" t="str">
        <ns0:v>閉じ込められた状況でも能力を面白がり、買い物と快適な暮らしを楽しむ。</ns0:v>
      </ns0:c>
      <ns0:c r="U18" s="69" t="str">
        <ns0:v>スケルトンは装備を使い狩り続ける。人格や独立した意志は未確認。</ns0:v>
      </ns0:c>
      <ns0:c r="V18" s="69" t="str">
        <ns0:v>戦う成果を次の働き手と家の快適さに戻せるため、攻略と生活改善が循環する。</ns0:v>
      </ns0:c>
      <ns0:c r="W18" s="69" t="str">
        <ns0:v>次は何を買え、どこまで手間を減らして暮らせるか。</ns0:v>
      </ns0:c>
      <ns0:c r="X18" s="69" t="str">
        <ns0:v>軍団の増加・装備強化・住宅拡張が残る。対人関係の変奏は紹介されない。</ns0:v>
      </ns0:c>
      <ns0:c r="Y18" s="71" t="str">
        <ns0:v>異常事態を楽しむ態度と贅沢への期待は紹介文に明記。召喚体をヒロイン扱いしない。</ns0:v>
      </ns0:c>
    </ns0:row>
    <ns0:row r="19" ht="67.95" customHeight="1">
      <ns0:c r="A19" s="2" t="s">
        <ns0:v>17</ns0:v>
      </ns0:c>
      <ns0:c r="B19" s="4">
        <ns0:v>14</ns0:v>
      </ns0:c>
      <ns0:c r="C19" s="2" t="s">
        <ns0:v>99</ns0:v>
      </ns0:c>
      <ns0:c r="D19" s="6" t="s">
        <ns0:v>2030</ns0:v>
      </ns0:c>
      <ns0:c r="E19" s="6" t="s">
        <ns0:v>2049</ns0:v>
      </ns0:c>
      <ns0:c r="F19" s="6" t="s">
        <ns0:v>2044</ns0:v>
      </ns0:c>
      <ns0:c r="G19" s="2" t="s">
        <ns0:v>2040</ns0:v>
      </ns0:c>
      <ns0:c r="H19" s="2"/>
      <ns0:c r="I19" s="2" t="s">
        <ns0:v>2089</ns0:v>
      </ns0:c>
      <ns0:c r="J19" s="2" t="s">
        <ns0:v>2090</ns0:v>
      </ns0:c>
      <ns0:c r="K19" s="2" t="s">
        <ns0:v>2091</ns0:v>
      </ns0:c>
      <ns0:c r="L19" s="2" t="s">
        <ns0:v>2035</ns0:v>
      </ns0:c>
      <ns0:c r="M19" s="5" t="s">
        <ns0:v>101</ns0:v>
      </ns0:c>
      <ns0:c r="N19" s="7" t="s">
        <ns0:v>102</ns0:v>
      </ns0:c>
      <ns0:c r="O19" s="7" t="s">
        <ns0:v>104</ns0:v>
      </ns0:c>
      <ns0:c r="P19" s="7" t="s">
        <ns0:v>2036</ns0:v>
      </ns0:c>
      <ns0:c r="Q19" s="7" t="s">
        <ns0:v>2037</ns0:v>
      </ns0:c>
      <ns0:c r="R19" s="7" t="s">
        <ns0:v>1886</ns0:v>
      </ns0:c>
      <ns0:c r="S19" s="73" t="str">
        <ns0:v>召喚カード融合×探索無双×配信での再評価×施設へ恩返ししたい主人公</ns0:v>
      </ns0:c>
      <ns0:c r="T19" s="72" t="str">
        <ns0:v>育った施設を支える目的を持つ。気質の詳細は未確認。</ns0:v>
      </ns0:c>
      <ns0:c r="U19" s="72" t="str">
        <ns0:v>偶然救われるアイドル配信者が登場。性格・好意の強さは未確認。</ns0:v>
      </ns0:c>
      <ns0:c r="V19" s="72" t="str">
        <ns0:v>不遇な能力に適した対象を見つけることで、支えたい場所のために稼ぐ道が開ける。</ns0:v>
      </ns0:c>
      <ns0:c r="W19" s="72" t="str">
        <ns0:v>低評価の技能が有効になる発見と、その成果が本人へ認められること。</ns0:v>
      </ns0:c>
      <ns0:c r="X19" s="72" t="str">
        <ns0:v>使い魔による攻略と注目の増加は予告。融合の選択や人間関係の変化は未確認。</ns0:v>
      </ns0:c>
      <ns0:c r="Y19" s="74" t="str">
        <ns0:v>恩返しの目的は紹介文末尾。無自覚ハーレムや相手の溺愛は補完しない。</ns0:v>
      </ns0:c>
    </ns0:row>
    <ns0:row r="20" ht="67.95" customHeight="1">
      <ns0:c r="A20" s="2" t="s">
        <ns0:v>17</ns0:v>
      </ns0:c>
      <ns0:c r="B20" s="4">
        <ns0:v>15</ns0:v>
      </ns0:c>
      <ns0:c r="C20" s="2" t="s">
        <ns0:v>105</ns0:v>
      </ns0:c>
      <ns0:c r="D20" s="6" t="s">
        <ns0:v>2049</ns0:v>
      </ns0:c>
      <ns0:c r="E20" s="6" t="s">
        <ns0:v>2039</ns0:v>
      </ns0:c>
      <ns0:c r="F20" s="6" t="s">
        <ns0:v>2058</ns0:v>
      </ns0:c>
      <ns0:c r="G20" s="9" t="s">
        <ns0:v>2031</ns0:v>
      </ns0:c>
      <ns0:c r="H20" s="9" t="s">
        <ns0:v>2058</ns0:v>
      </ns0:c>
      <ns0:c r="I20" s="2" t="s">
        <ns0:v>2092</ns0:v>
      </ns0:c>
      <ns0:c r="J20" s="2" t="s">
        <ns0:v>2093</ns0:v>
      </ns0:c>
      <ns0:c r="K20" s="2" t="s">
        <ns0:v>2094</ns0:v>
      </ns0:c>
      <ns0:c r="L20" s="2" t="s">
        <ns0:v>2035</ns0:v>
      </ns0:c>
      <ns0:c r="M20" s="5" t="s">
        <ns0:v>107</ns0:v>
      </ns0:c>
      <ns0:c r="N20" s="7" t="s">
        <ns0:v>108</ns0:v>
      </ns0:c>
      <ns0:c r="O20" s="7" t="s">
        <ns0:v>110</ns0:v>
      </ns0:c>
      <ns0:c r="P20" s="7" t="s">
        <ns0:v>2036</ns0:v>
      </ns0:c>
      <ns0:c r="Q20" s="7" t="s">
        <ns0:v>2037</ns0:v>
      </ns0:c>
      <ns0:c r="R20" s="7" t="s">
        <ns0:v>1850</ns0:v>
      </ns0:c>
      <ns0:c r="S20" s="70" t="str">
        <ns0:v>巨大拠点づくり×終末への備え×QOL追求×冷徹な合理主義者×専門家集団</ns0:v>
      </ns0:c>
      <ns0:c r="T20" s="69" t="str">
        <ns0:v>二度と悲惨な生活をしないため、巨大な安全と快適さを徹底して作る。</ns0:v>
      </ns0:c>
      <ns0:c r="U20" s="69" t="str">
        <ns0:v>土木・工学・物流等の専門家が協力。個人ごとの性格は未確認。</ns0:v>
      </ns0:c>
      <ns0:c r="V20" s="69" t="str">
        <ns0:v>生存の最低限を越えて、滅亡する地上をよそに理想の生活を用意することが建設の報酬になる。</ns0:v>
      </ns0:c>
      <ns0:c r="W20" s="69" t="str">
        <ns0:v>脅威への対策が設備として完成し、安心と贅沢を同時に得られるか。</ns0:v>
      </ns0:c>
      <ns0:c r="X20" s="69" t="str">
        <ns0:v>自給・エネルギー・防衛・娯楽へ設備が積み重なる。専門家同士の関係は未確認。</ns0:v>
      </ns0:c>
      <ns0:c r="Y20" s="71" t="str">
        <ns0:v>冷徹な合理主義者とQOL重視は紹介文の明記。ヒロインの性格は不明。</ns0:v>
      </ns0:c>
    </ns0:row>
    <ns0:row r="21" ht="82.05000305175781" customHeight="1">
      <ns0:c r="A21" s="2" t="s">
        <ns0:v>17</ns0:v>
      </ns0:c>
      <ns0:c r="B21" s="4">
        <ns0:v>16</ns0:v>
      </ns0:c>
      <ns0:c r="C21" s="2" t="s">
        <ns0:v>111</ns0:v>
      </ns0:c>
      <ns0:c r="D21" s="6" t="s">
        <ns0:v>2077</ns0:v>
      </ns0:c>
      <ns0:c r="E21" s="6" t="s">
        <ns0:v>2044</ns0:v>
      </ns0:c>
      <ns0:c r="F21" s="6"/>
      <ns0:c r="G21" s="9" t="s">
        <ns0:v>2059</ns0:v>
      </ns0:c>
      <ns0:c r="H21" s="9" t="s">
        <ns0:v>2077</ns0:v>
      </ns0:c>
      <ns0:c r="I21" s="2" t="s">
        <ns0:v>2095</ns0:v>
      </ns0:c>
      <ns0:c r="J21" s="2" t="s">
        <ns0:v>2096</ns0:v>
      </ns0:c>
      <ns0:c r="K21" s="2" t="s">
        <ns0:v>2097</ns0:v>
      </ns0:c>
      <ns0:c r="L21" s="2" t="s">
        <ns0:v>2035</ns0:v>
      </ns0:c>
      <ns0:c r="M21" s="5" t="s">
        <ns0:v>112</ns0:v>
      </ns0:c>
      <ns0:c r="N21" s="7" t="s">
        <ns0:v>113</ns0:v>
      </ns0:c>
      <ns0:c r="O21" s="7" t="s">
        <ns0:v>115</ns0:v>
      </ns0:c>
      <ns0:c r="P21" s="7" t="s">
        <ns0:v>2036</ns0:v>
      </ns0:c>
      <ns0:c r="Q21" s="7" t="s">
        <ns0:v>2037</ns0:v>
      </ns0:c>
      <ns0:c r="R21" s="7" t="s">
        <ns0:v>1838</ns0:v>
      </ns0:c>
      <ns0:c r="S21" s="73" t="str">
        <ns0:v>清掃仕事×無自覚無双×妹の治療費×小さな賃金を喜ぶ兄×国家規模の正体捜し</ns0:v>
      </ns0:c>
      <ns0:c r="T21" s="72" t="str">
        <ns0:v>時給と妹への差し入れを気にし、自分の仕事を普通の掃除だと考える。</ns0:v>
      </ns0:c>
      <ns0:c r="U21" s="72" t="str">
        <ns0:v>国家・探索者は未知の攻略者を探す。妹の性格は未確認。</ns0:v>
      </ns0:c>
      <ns0:c r="V21" s="72" t="str">
        <ns0:v>国家級の攻略を成し遂げる人物の関心が、時給と妹の食べ物に留まっている。</ns0:v>
      </ns0:c>
      <ns0:c r="W21" s="72" t="str">
        <ns0:v>掃除として処理される脅威の大きさと、地味な働き手へ世間が到達する過程。</ns0:v>
      </ns0:c>
      <ns0:c r="X21" s="72" t="str">
        <ns0:v>清掃の成果と古巣の不調は示される。正体判明後の楽しさの変化は未確認。</ns0:v>
      </ns0:c>
      <ns0:c r="Y21" s="74" t="str">
        <ns0:v>発言と妹のための就労が根拠。無口・コミュ障とは記載されていない。</ns0:v>
      </ns0:c>
    </ns0:row>
    <ns0:row r="22" ht="64.05000305175781" customHeight="1">
      <ns0:c r="A22" s="2" t="s">
        <ns0:v>17</ns0:v>
      </ns0:c>
      <ns0:c r="B22" s="4">
        <ns0:v>17</ns0:v>
      </ns0:c>
      <ns0:c r="C22" s="2" t="s">
        <ns0:v>116</ns0:v>
      </ns0:c>
      <ns0:c r="D22" s="6" t="s">
        <ns0:v>2054</ns0:v>
      </ns0:c>
      <ns0:c r="E22" s="6" t="s">
        <ns0:v>2063</ns0:v>
      </ns0:c>
      <ns0:c r="F22" s="6" t="s">
        <ns0:v>2029</ns0:v>
      </ns0:c>
      <ns0:c r="G22" s="9" t="s">
        <ns0:v>2031</ns0:v>
      </ns0:c>
      <ns0:c r="H22" s="9" t="s">
        <ns0:v>2029</ns0:v>
      </ns0:c>
      <ns0:c r="I22" s="2" t="s">
        <ns0:v>2098</ns0:v>
      </ns0:c>
      <ns0:c r="J22" s="2" t="s">
        <ns0:v>2099</ns0:v>
      </ns0:c>
      <ns0:c r="K22" s="2" t="s">
        <ns0:v>2100</ns0:v>
      </ns0:c>
      <ns0:c r="L22" s="2" t="s">
        <ns0:v>2035</ns0:v>
      </ns0:c>
      <ns0:c r="M22" s="5" t="s">
        <ns0:v>118</ns0:v>
      </ns0:c>
      <ns0:c r="N22" s="7" t="s">
        <ns0:v>119</ns0:v>
      </ns0:c>
      <ns0:c r="O22" s="7" t="s">
        <ns0:v>121</ns0:v>
      </ns0:c>
      <ns0:c r="P22" s="7" t="s">
        <ns0:v>2036</ns0:v>
      </ns0:c>
      <ns0:c r="Q22" s="7" t="s">
        <ns0:v>2037</ns0:v>
      </ns0:c>
      <ns0:c r="R22" s="7" t="s">
        <ns0:v>1896</ns0:v>
      </ns0:c>
      <ns0:c r="S22" s="70" t="str">
        <ns0:v>探索配信×借金返済×能力徴収×お人よしで楽観的なおじさん×もふもふ生活</ns0:v>
      </ns0:c>
      <ns0:c r="T22" s="69" t="str">
        <ns0:v>裏切られても何とかなると受け止め、農業と返済を淡々と続ける。</ns0:v>
      </ns0:c>
      <ns0:c r="U22" s="69" t="str">
        <ns0:v>借金を押し付けた者は力を失う。母・動物の個別性格は未確認。</ns0:v>
      </ns0:c>
      <ns0:c r="V22" s="69" t="str">
        <ns0:v>人の負担を引き受ける善良さが、本人の知らない能力徴収という見返りに変わる。</ns0:v>
      </ns0:c>
      <ns0:c r="W22" s="69" t="str">
        <ns0:v>返済が本人の得と相手の損に転じること、穏やかな暮らしとの両立。</ns0:v>
      </ns0:c>
      <ns0:c r="X22" s="69" t="str">
        <ns0:v>返済額と能力が蓄積する。行動の選択肢がどこまで変わるかは本文未確認。</ns0:v>
      </ns0:c>
      <ns0:c r="Y22" s="71" t="str">
        <ns0:v>題名の優しさと紹介の楽観的な態度が根拠。温厚さを無制限な寛容と同一視しない。</ns0:v>
      </ns0:c>
    </ns0:row>
    <ns0:row r="23" ht="64.05000305175781" customHeight="1">
      <ns0:c r="A23" s="2" t="s">
        <ns0:v>17</ns0:v>
      </ns0:c>
      <ns0:c r="B23" s="4">
        <ns0:v>18</ns0:v>
      </ns0:c>
      <ns0:c r="C23" s="2" t="s">
        <ns0:v>122</ns0:v>
      </ns0:c>
      <ns0:c r="D23" s="6" t="s">
        <ns0:v>2101</ns0:v>
      </ns0:c>
      <ns0:c r="E23" s="6" t="s">
        <ns0:v>2102</ns0:v>
      </ns0:c>
      <ns0:c r="F23" s="6" t="s">
        <ns0:v>2030</ns0:v>
      </ns0:c>
      <ns0:c r="G23" s="2" t="s">
        <ns0:v>2040</ns0:v>
      </ns0:c>
      <ns0:c r="H23" s="2"/>
      <ns0:c r="I23" s="2" t="s">
        <ns0:v>2103</ns0:v>
      </ns0:c>
      <ns0:c r="J23" s="2" t="s">
        <ns0:v>2104</ns0:v>
      </ns0:c>
      <ns0:c r="K23" s="2" t="s">
        <ns0:v>2105</ns0:v>
      </ns0:c>
      <ns0:c r="L23" s="2" t="s">
        <ns0:v>2035</ns0:v>
      </ns0:c>
      <ns0:c r="M23" s="5" t="s">
        <ns0:v>124</ns0:v>
      </ns0:c>
      <ns0:c r="N23" s="7" t="s">
        <ns0:v>125</ns0:v>
      </ns0:c>
      <ns0:c r="O23" s="7" t="s">
        <ns0:v>127</ns0:v>
      </ns0:c>
      <ns0:c r="P23" s="7" t="s">
        <ns0:v>2036</ns0:v>
      </ns0:c>
      <ns0:c r="Q23" s="7" t="s">
        <ns0:v>2037</ns0:v>
      </ns0:c>
      <ns0:c r="R23" s="7" t="s">
        <ns0:v>1878</ns0:v>
      </ns0:c>
      <ns0:c r="S23" s="73" t="str">
        <ns0:v>魔術の勝負×知識で才能を上回る×魔術オタクの主人公×負けず嫌いで独占的な王女</ns0:v>
      </ns0:c>
      <ns0:c r="T23" s="72" t="str">
        <ns0:v>魔術をこよなく愛し、知見を実戦で使う。</ns0:v>
      </ns0:c>
      <ns0:c r="U23" s="72" t="str">
        <ns0:v>王女は一番である義務にこだわり、敗北するほど相手を独占しようとする。</ns0:v>
      </ns0:c>
      <ns0:c r="V23" s="72" t="str">
        <ns0:v>主人公の好きな技術による勝利が、相手の競争心を恋愛的な執着へ変える。</ns0:v>
      </ns0:c>
      <ns0:c r="W23" s="72" t="str">
        <ns0:v>次の勝負と、その勝敗で王女の感情がどこまで変わるか。</ns0:v>
      </ns0:c>
      <ns0:c r="X23" s="72" t="str">
        <ns0:v>再戦のたび執着が増すと明記。独占感情以外の関係発展は未確認。</ns0:v>
      </ns0:c>
      <ns0:c r="Y23" s="74" t="str">
        <ns0:v>主人公のオタク性と王女の発言が根拠。ヤンデレの対象は王女と特定できる。</ns0:v>
      </ns0:c>
    </ns0:row>
    <ns0:row r="24" ht="64.05000305175781" customHeight="1">
      <ns0:c r="A24" s="2" t="s">
        <ns0:v>17</ns0:v>
      </ns0:c>
      <ns0:c r="B24" s="4">
        <ns0:v>19</ns0:v>
      </ns0:c>
      <ns0:c r="C24" s="2" t="s">
        <ns0:v>128</ns0:v>
      </ns0:c>
      <ns0:c r="D24" s="6" t="s">
        <ns0:v>2044</ns0:v>
      </ns0:c>
      <ns0:c r="E24" s="6" t="s">
        <ns0:v>2050</ns0:v>
      </ns0:c>
      <ns0:c r="F24" s="6" t="s">
        <ns0:v>2029</ns0:v>
      </ns0:c>
      <ns0:c r="G24" s="9" t="s">
        <ns0:v>2031</ns0:v>
      </ns0:c>
      <ns0:c r="H24" s="9" t="s">
        <ns0:v>2029</ns0:v>
      </ns0:c>
      <ns0:c r="I24" s="2" t="s">
        <ns0:v>2106</ns0:v>
      </ns0:c>
      <ns0:c r="J24" s="2" t="s">
        <ns0:v>2107</ns0:v>
      </ns0:c>
      <ns0:c r="K24" s="2" t="s">
        <ns0:v>2108</ns0:v>
      </ns0:c>
      <ns0:c r="L24" s="2" t="s">
        <ns0:v>2035</ns0:v>
      </ns0:c>
      <ns0:c r="M24" s="5" t="s">
        <ns0:v>130</ns0:v>
      </ns0:c>
      <ns0:c r="N24" s="7" t="s">
        <ns0:v>131</ns0:v>
      </ns0:c>
      <ns0:c r="O24" s="7" t="s">
        <ns0:v>133</ns0:v>
      </ns0:c>
      <ns0:c r="P24" s="7" t="s">
        <ns0:v>2036</ns0:v>
      </ns0:c>
      <ns0:c r="Q24" s="7" t="s">
        <ns0:v>2037</ns0:v>
      </ns0:c>
      <ns0:c r="R24" s="7" t="s">
        <ns0:v>1831</ns0:v>
      </ns0:c>
      <ns0:c r="S24" s="70" t="str">
        <ns0:v>VR冒険×救助×熟練無双×仲間を見捨てない勇者×初心者扱いするプレイヤー</ns0:v>
      </ns0:c>
      <ns0:c r="T24" s="69" t="str">
        <ns0:v>ゲームでも仲間を見捨てない矜持を持ち、自由な冒険を楽しむ。</ns0:v>
      </ns0:c>
      <ns0:c r="U24" s="69" t="str">
        <ns0:v>妹がゲームを勧める。助けられるプレイヤー個々の性格は未確認。</ns0:v>
      </ns0:c>
      <ns0:c r="V24" s="69" t="str">
        <ns0:v>初心者というゲーム上の立場と実戦経験がずれ、救助で強さと人柄を同時に示せる。</ns0:v>
      </ns0:c>
      <ns0:c r="W24" s="69" t="str">
        <ns0:v>技巧による突破と、助ける行動から信頼されること。</ns0:v>
      </ns0:c>
      <ns0:c r="X24" s="69" t="str">
        <ns0:v>新しい仲間との出会いは予告。救った側と救われた側の役割変化は未確認。</ns0:v>
      </ns0:c>
      <ns0:c r="Y24" s="71" t="str">
        <ns0:v>仲間を見捨てないという明記が根拠。無欲・鈍感等の追加性格は未確認。</ns0:v>
      </ns0:c>
    </ns0:row>
    <ns0:row r="25" ht="64.05000305175781" customHeight="1">
      <ns0:c r="A25" s="2" t="s">
        <ns0:v>17</ns0:v>
      </ns0:c>
      <ns0:c r="B25" s="4">
        <ns0:v>20</ns0:v>
      </ns0:c>
      <ns0:c r="C25" s="2" t="s">
        <ns0:v>134</ns0:v>
      </ns0:c>
      <ns0:c r="D25" s="6" t="s">
        <ns0:v>2109</ns0:v>
      </ns0:c>
      <ns0:c r="E25" s="6" t="s">
        <ns0:v>2044</ns0:v>
      </ns0:c>
      <ns0:c r="F25" s="6"/>
      <ns0:c r="G25" s="9" t="s">
        <ns0:v>2059</ns0:v>
      </ns0:c>
      <ns0:c r="H25" s="9" t="s">
        <ns0:v>2109</ns0:v>
      </ns0:c>
      <ns0:c r="I25" s="2" t="s">
        <ns0:v>2110</ns0:v>
      </ns0:c>
      <ns0:c r="J25" s="2" t="s">
        <ns0:v>2111</ns0:v>
      </ns0:c>
      <ns0:c r="K25" s="2" t="s">
        <ns0:v>2112</ns0:v>
      </ns0:c>
      <ns0:c r="L25" s="2" t="s">
        <ns0:v>2035</ns0:v>
      </ns0:c>
      <ns0:c r="M25" s="5" t="s">
        <ns0:v>136</ns0:v>
      </ns0:c>
      <ns0:c r="N25" s="7" t="s">
        <ns0:v>137</ns0:v>
      </ns0:c>
      <ns0:c r="O25" s="7" t="s">
        <ns0:v>139</ns0:v>
      </ns0:c>
      <ns0:c r="P25" s="7" t="s">
        <ns0:v>2036</ns0:v>
      </ns0:c>
      <ns0:c r="Q25" s="7" t="s">
        <ns0:v>2037</ns0:v>
      </ns0:c>
      <ns0:c r="R25" s="7" t="s">
        <ns0:v>1873</ns0:v>
      </ns0:c>
      <ns0:c r="S25" s="73" t="str">
        <ns0:v>社会への制裁×帰還最強×改革への使命感×弱者搾取を許さない主人公</ns0:v>
      </ns0:c>
      <ns0:c r="T25" s="72" t="str">
        <ns0:v>自分が社会を変えると決め、殺害も辞さない徹底した制裁志向。</ns0:v>
      </ns0:c>
      <ns0:c r="U25" s="72" t="str">
        <ns0:v>搾取して笑う者たちが対象。主要な協力者の性格は未確認。</ns0:v>
      </ns0:c>
      <ns0:c r="V25" s="72" t="str">
        <ns0:v>世界を救った経験と力を、帰還先の社会悪に対する私的制裁へ向ける。</ns0:v>
      </ns0:c>
      <ns0:c r="W25" s="72" t="str">
        <ns0:v>通常の仕組みで裁かれない相手に制裁が届くこと。</ns0:v>
      </ns0:c>
      <ns0:c r="X25" s="72" t="str">
        <ns0:v>日本全体を対象とする目標はある。制裁後の社会と主人公の変化は未確認。</ns0:v>
      </ns0:c>
      <ns0:c r="Y25" s="74" t="str">
        <ns0:v>粛清の決意は紹介文に明記。温和な老練さ等は年齢から補完しない。</ns0:v>
      </ns0:c>
    </ns0:row>
    <ns0:row r="26" ht="64.05000305175781" customHeight="1">
      <ns0:c r="A26" s="2" t="s">
        <ns0:v>17</ns0:v>
      </ns0:c>
      <ns0:c r="B26" s="4">
        <ns0:v>21</ns0:v>
      </ns0:c>
      <ns0:c r="C26" s="2" t="s">
        <ns0:v>140</ns0:v>
      </ns0:c>
      <ns0:c r="D26" s="6" t="s">
        <ns0:v>2029</ns0:v>
      </ns0:c>
      <ns0:c r="E26" s="6" t="s">
        <ns0:v>2050</ns0:v>
      </ns0:c>
      <ns0:c r="F26" s="6" t="s">
        <ns0:v>2113</ns0:v>
      </ns0:c>
      <ns0:c r="G26" s="9" t="s">
        <ns0:v>2059</ns0:v>
      </ns0:c>
      <ns0:c r="H26" s="9" t="s">
        <ns0:v>2029</ns0:v>
      </ns0:c>
      <ns0:c r="I26" s="2" t="s">
        <ns0:v>2114</ns0:v>
      </ns0:c>
      <ns0:c r="J26" s="2" t="s">
        <ns0:v>2115</ns0:v>
      </ns0:c>
      <ns0:c r="K26" s="2" t="s">
        <ns0:v>2116</ns0:v>
      </ns0:c>
      <ns0:c r="L26" s="2" t="s">
        <ns0:v>2035</ns0:v>
      </ns0:c>
      <ns0:c r="M26" s="5" t="s">
        <ns0:v>142</ns0:v>
      </ns0:c>
      <ns0:c r="N26" s="7" t="s">
        <ns0:v>143</ns0:v>
      </ns0:c>
      <ns0:c r="O26" s="7" t="s">
        <ns0:v>145</ns0:v>
      </ns0:c>
      <ns0:c r="P26" s="7" t="s">
        <ns0:v>2036</ns0:v>
      </ns0:c>
      <ns0:c r="Q26" s="7" t="s">
        <ns0:v>2037</ns0:v>
      </ns0:c>
      <ns0:c r="R26" s="7" t="s">
        <ns0:v>1884</ns0:v>
      </ns0:c>
      <ns0:c r="S26" s="70" t="str">
        <ns0:v>配信×救助×正体探し×最強の裏方×妹の夢を支えたい兄</ns0:v>
      </ns0:c>
      <ns0:c r="T26" s="69" t="str">
        <ns0:v>目立たず妹を支えたい。</ns0:v>
      </ns0:c>
      <ns0:c r="U26" s="69" t="str">
        <ns0:v>妹は実力不足でも夢を諦めない。</ns0:v>
      </ns0:c>
      <ns0:c r="V26" s="69" t="str">
        <ns0:v>妹を目立たせたい兄の救助が、兄自身への注目を集める。</ns0:v>
      </ns0:c>
      <ns0:c r="W26" s="69" t="str">
        <ns0:v>視聴者の特定と、妹の成功への喜び。</ns0:v>
      </ns0:c>
      <ns0:c r="X26" s="69" t="str">
        <ns0:v>登録者の増加と正体への接近が連動する。</ns0:v>
      </ns0:c>
      <ns0:c r="Y26" s="71" t="str">
        <ns0:v>紹介文の支援・救助・正体探し。兄をコミュ障とは判定しない。</ns0:v>
      </ns0:c>
    </ns0:row>
    <ns0:row r="27" ht="64.05000305175781" customHeight="1">
      <ns0:c r="A27" s="2" t="s">
        <ns0:v>17</ns0:v>
      </ns0:c>
      <ns0:c r="B27" s="4">
        <ns0:v>22</ns0:v>
      </ns0:c>
      <ns0:c r="C27" s="2" t="s">
        <ns0:v>146</ns0:v>
      </ns0:c>
      <ns0:c r="D27" s="6" t="s">
        <ns0:v>2049</ns0:v>
      </ns0:c>
      <ns0:c r="E27" s="6" t="s">
        <ns0:v>2117</ns0:v>
      </ns0:c>
      <ns0:c r="F27" s="6" t="s">
        <ns0:v>2118</ns0:v>
      </ns0:c>
      <ns0:c r="G27" s="2" t="s">
        <ns0:v>2040</ns0:v>
      </ns0:c>
      <ns0:c r="H27" s="2"/>
      <ns0:c r="I27" s="2" t="s">
        <ns0:v>2119</ns0:v>
      </ns0:c>
      <ns0:c r="J27" s="2" t="s">
        <ns0:v>2120</ns0:v>
      </ns0:c>
      <ns0:c r="K27" s="2" t="s">
        <ns0:v>2121</ns0:v>
      </ns0:c>
      <ns0:c r="L27" s="2" t="s">
        <ns0:v>2035</ns0:v>
      </ns0:c>
      <ns0:c r="M27" s="5" t="s">
        <ns0:v>148</ns0:v>
      </ns0:c>
      <ns0:c r="N27" s="7" t="s">
        <ns0:v>149</ns0:v>
      </ns0:c>
      <ns0:c r="O27" s="7" t="s">
        <ns0:v>151</ns0:v>
      </ns0:c>
      <ns0:c r="P27" s="7" t="s">
        <ns0:v>2036</ns0:v>
      </ns0:c>
      <ns0:c r="Q27" s="7" t="s">
        <ns0:v>2037</ns0:v>
      </ns0:c>
      <ns0:c r="R27" s="7" t="s">
        <ns0:v>1894</ns0:v>
      </ns0:c>
      <ns0:c r="S27" s="73" t="str">
        <ns0:v>ものづくり×工場再建×配信×性能偏重の鍛冶師×見栄えと実力の不一致</ns0:v>
      </ns0:c>
      <ns0:c r="T27" s="72" t="str">
        <ns0:v>左遷を気にせず性能を追求する。</ns0:v>
      </ns0:c>
      <ns0:c r="U27" s="72" t="str">
        <ns0:v>仲間は個性的とだけ記載。性格未確認。</ns0:v>
      </ns0:c>
      <ns0:c r="V27" s="72" t="str">
        <ns0:v>見た目を顧みない職人気質が、実演では圧倒的な商品力になる。</ns0:v>
      </ns0:c>
      <ns0:c r="W27" s="72" t="str">
        <ns0:v>地味な製品の再評価と工場の成長。</ns0:v>
      </ns0:c>
      <ns0:c r="X27" s="72" t="str">
        <ns0:v>製品改良からメーカーとしての躍進へ広がる。</ns0:v>
      </ns0:c>
      <ns0:c r="Y27" s="74" t="str">
        <ns0:v>包丁に見える魔装具と性能重視の発言が根拠。</ns0:v>
      </ns0:c>
    </ns0:row>
    <ns0:row r="28" ht="64.05000305175781" customHeight="1">
      <ns0:c r="A28" s="2" t="s">
        <ns0:v>17</ns0:v>
      </ns0:c>
      <ns0:c r="B28" s="4">
        <ns0:v>23</ns0:v>
      </ns0:c>
      <ns0:c r="C28" s="2" t="s">
        <ns0:v>152</ns0:v>
      </ns0:c>
      <ns0:c r="D28" s="6" t="s">
        <ns0:v>2077</ns0:v>
      </ns0:c>
      <ns0:c r="E28" s="6" t="s">
        <ns0:v>2054</ns0:v>
      </ns0:c>
      <ns0:c r="F28" s="6" t="s">
        <ns0:v>2050</ns0:v>
      </ns0:c>
      <ns0:c r="G28" s="9" t="s">
        <ns0:v>2059</ns0:v>
      </ns0:c>
      <ns0:c r="H28" s="9" t="s">
        <ns0:v>2077</ns0:v>
      </ns0:c>
      <ns0:c r="I28" s="2" t="s">
        <ns0:v>2122</ns0:v>
      </ns0:c>
      <ns0:c r="J28" s="2" t="s">
        <ns0:v>2123</ns0:v>
      </ns0:c>
      <ns0:c r="K28" s="2" t="s">
        <ns0:v>2124</ns0:v>
      </ns0:c>
      <ns0:c r="L28" s="2" t="s">
        <ns0:v>2035</ns0:v>
      </ns0:c>
      <ns0:c r="M28" s="5" t="s">
        <ns0:v>154</ns0:v>
      </ns0:c>
      <ns0:c r="N28" s="7" t="s">
        <ns0:v>155</ns0:v>
      </ns0:c>
      <ns0:c r="O28" s="7" t="s">
        <ns0:v>157</ns0:v>
      </ns0:c>
      <ns0:c r="P28" s="7" t="s">
        <ns0:v>2036</ns0:v>
      </ns0:c>
      <ns0:c r="Q28" s="7" t="s">
        <ns0:v>2037</ns0:v>
      </ns0:c>
      <ns0:c r="R28" s="7" t="s">
        <ns0:v>1870</ns0:v>
      </ns0:c>
      <ns0:c r="S28" s="70" t="str">
        <ns0:v>仕事×ガチャ育成×美少女への変身×会社勤めに疲れた男性×報酬で回る探索</ns0:v>
      </ns0:c>
      <ns0:c r="T28" s="69" t="str">
        <ns0:v>会社勤めに疲れ、自分に合う働き方を探す。</ns0:v>
      </ns0:c>
      <ns0:c r="U28" s="69" t="str">
        <ns0:v>周囲は変身前の素性を知らない。性格未確認。</ns0:v>
      </ns0:c>
      <ns0:c r="V28" s="69" t="str">
        <ns0:v>仕事が収入とガチャ報酬の両方になり、社会復帰にゲームの楽しさが重なる。</ns0:v>
      </ns0:c>
      <ns0:c r="W28" s="69" t="str">
        <ns0:v>報酬獲得・育成と、働き方の自由。</ns0:v>
      </ns0:c>
      <ns0:c r="X28" s="69" t="str">
        <ns0:v>複数種の依頼と異能の正体の解明を予告。</ns0:v>
      </ns0:c>
      <ns0:c r="Y28" s="71" t="str">
        <ns0:v>紹介文の動機・報酬構造。容姿と内面の違いは性格と別記。</ns0:v>
      </ns0:c>
    </ns0:row>
    <ns0:row r="29" ht="64.05000305175781" customHeight="1">
      <ns0:c r="A29" s="2" t="s">
        <ns0:v>17</ns0:v>
      </ns0:c>
      <ns0:c r="B29" s="4">
        <ns0:v>24</ns0:v>
      </ns0:c>
      <ns0:c r="C29" s="2" t="s">
        <ns0:v>158</ns0:v>
      </ns0:c>
      <ns0:c r="D29" s="6" t="s">
        <ns0:v>2030</ns0:v>
      </ns0:c>
      <ns0:c r="E29" s="6" t="s">
        <ns0:v>2044</ns0:v>
      </ns0:c>
      <ns0:c r="F29" s="6" t="s">
        <ns0:v>2029</ns0:v>
      </ns0:c>
      <ns0:c r="G29" s="9" t="s">
        <ns0:v>2031</ns0:v>
      </ns0:c>
      <ns0:c r="H29" s="9" t="s">
        <ns0:v>2029</ns0:v>
      </ns0:c>
      <ns0:c r="I29" s="2" t="s">
        <ns0:v>2125</ns0:v>
      </ns0:c>
      <ns0:c r="J29" s="2" t="s">
        <ns0:v>2126</ns0:v>
      </ns0:c>
      <ns0:c r="K29" s="2" t="s">
        <ns0:v>2127</ns0:v>
      </ns0:c>
      <ns0:c r="L29" s="2" t="s">
        <ns0:v>2035</ns0:v>
      </ns0:c>
      <ns0:c r="M29" s="5" t="s">
        <ns0:v>160</ns0:v>
      </ns0:c>
      <ns0:c r="N29" s="7" t="s">
        <ns0:v>161</ns0:v>
      </ns0:c>
      <ns0:c r="O29" s="7" t="s">
        <ns0:v>163</ns0:v>
      </ns0:c>
      <ns0:c r="P29" s="7" t="s">
        <ns0:v>2036</ns0:v>
      </ns0:c>
      <ns0:c r="Q29" s="7" t="s">
        <ns0:v>2037</ns0:v>
      </ns0:c>
      <ns0:c r="R29" s="7" t="s">
        <ns0:v>1893</ns0:v>
      </ns0:c>
      <ns0:c r="S29" s="73" t="str">
        <ns0:v>探索配信×吸収成長×高収入×推しとの結婚願望×思い切りのよい主人公</ns0:v>
      </ns0:c>
      <ns0:c r="T29" s="72" t="str">
        <ns0:v>推しの発言を好機と捉え、勢いで退職する。</ns0:v>
      </ns0:c>
      <ns0:c r="U29" s="72" t="str">
        <ns0:v>推しは結婚条件を述べる。性格未確認。</ns0:v>
      </ns0:c>
      <ns0:c r="V29" s="72" t="str">
        <ns0:v>強くなる目的が推しとの結婚なので、収益と成長が私的な願望へ直結する。</ns0:v>
      </ns0:c>
      <ns0:c r="W29" s="72" t="str">
        <ns0:v>能力・年収が目標へ近づく手応え。</ns0:v>
      </ns0:c>
      <ns0:c r="X29" s="72" t="str">
        <ns0:v>吸収による成長は明記。推しの応答は未確認。</ns0:v>
      </ns0:c>
      <ns0:c r="Y29" s="74" t="str">
        <ns0:v>紹介文の退職行動と動機。ヒロインの拝金主義は断定しない。</ns0:v>
      </ns0:c>
    </ns0:row>
    <ns0:row r="30" ht="64.05000305175781" customHeight="1">
      <ns0:c r="A30" s="2" t="s">
        <ns0:v>17</ns0:v>
      </ns0:c>
      <ns0:c r="B30" s="4">
        <ns0:v>25</ns0:v>
      </ns0:c>
      <ns0:c r="C30" s="2" t="s">
        <ns0:v>164</ns0:v>
      </ns0:c>
      <ns0:c r="D30" s="6" t="s">
        <ns0:v>2078</ns0:v>
      </ns0:c>
      <ns0:c r="E30" s="6" t="s">
        <ns0:v>2044</ns0:v>
      </ns0:c>
      <ns0:c r="F30" s="6" t="s">
        <ns0:v>2058</ns0:v>
      </ns0:c>
      <ns0:c r="G30" s="9" t="s">
        <ns0:v>2031</ns0:v>
      </ns0:c>
      <ns0:c r="H30" s="9" t="s">
        <ns0:v>2058</ns0:v>
      </ns0:c>
      <ns0:c r="I30" s="2" t="s">
        <ns0:v>2128</ns0:v>
      </ns0:c>
      <ns0:c r="J30" s="2" t="s">
        <ns0:v>2129</ns0:v>
      </ns0:c>
      <ns0:c r="K30" s="2" t="s">
        <ns0:v>2130</ns0:v>
      </ns0:c>
      <ns0:c r="L30" s="2" t="s">
        <ns0:v>2035</ns0:v>
      </ns0:c>
      <ns0:c r="M30" s="5" t="s">
        <ns0:v>166</ns0:v>
      </ns0:c>
      <ns0:c r="N30" s="7" t="s">
        <ns0:v>167</ns0:v>
      </ns0:c>
      <ns0:c r="O30" s="7" t="s">
        <ns0:v>169</ns0:v>
      </ns0:c>
      <ns0:c r="P30" s="7" t="s">
        <ns0:v>2036</ns0:v>
      </ns0:c>
      <ns0:c r="Q30" s="7" t="s">
        <ns0:v>2037</ns0:v>
      </ns0:c>
      <ns0:c r="R30" s="7" t="s">
        <ns0:v>1817</ns0:v>
      </ns0:c>
      <ns0:c r="S30" s="70" t="str">
        <ns0:v>修行×家族保護×異世界知識×赤ちゃんの身体×工夫して鍛える元勇者</ns0:v>
      </ns0:c>
      <ns0:c r="T30" s="69" t="str">
        <ns0:v>妹を守ろうと決意し、制約下でも鍛える。</ns0:v>
      </ns0:c>
      <ns0:c r="U30" s="69" t="str">
        <ns0:v>妹の性格は未確認。才能が危険を招く。</ns0:v>
      </ns0:c>
      <ns0:c r="V30" s="69" t="str">
        <ns0:v>身体が動かない弱さを式神と経験で補い、幼さと実力の落差を作る。</ns0:v>
      </ns0:c>
      <ns0:c r="W30" s="69" t="str">
        <ns0:v>工夫で制約を越える快感と兄の頼もしさ。</ns0:v>
      </ns0:c>
      <ns0:c r="X30" s="69" t="str">
        <ns0:v>成長と陰陽師社会からの注目が予告される。</ns0:v>
      </ns0:c>
      <ns0:c r="Y30" s="71" t="str">
        <ns0:v>式神利用・妹を守る動機が根拠。</ns0:v>
      </ns0:c>
    </ns0:row>
    <ns0:row r="31" ht="64.05000305175781" customHeight="1">
      <ns0:c r="A31" s="2" t="s">
        <ns0:v>17</ns0:v>
      </ns0:c>
      <ns0:c r="B31" s="4">
        <ns0:v>26</ns0:v>
      </ns0:c>
      <ns0:c r="C31" s="2" t="s">
        <ns0:v>170</ns0:v>
      </ns0:c>
      <ns0:c r="D31" s="6" t="s">
        <ns0:v>2117</ns0:v>
      </ns0:c>
      <ns0:c r="E31" s="6" t="s">
        <ns0:v>2049</ns0:v>
      </ns0:c>
      <ns0:c r="F31" s="6" t="s">
        <ns0:v>2030</ns0:v>
      </ns0:c>
      <ns0:c r="G31" s="2" t="s">
        <ns0:v>2040</ns0:v>
      </ns0:c>
      <ns0:c r="H31" s="2"/>
      <ns0:c r="I31" s="2" t="s">
        <ns0:v>2131</ns0:v>
      </ns0:c>
      <ns0:c r="J31" s="2" t="s">
        <ns0:v>2132</ns0:v>
      </ns0:c>
      <ns0:c r="K31" s="2" t="s">
        <ns0:v>2133</ns0:v>
      </ns0:c>
      <ns0:c r="L31" s="2" t="s">
        <ns0:v>2035</ns0:v>
      </ns0:c>
      <ns0:c r="M31" s="5" t="s">
        <ns0:v>172</ns0:v>
      </ns0:c>
      <ns0:c r="N31" s="7" t="s">
        <ns0:v>173</ns0:v>
      </ns0:c>
      <ns0:c r="O31" s="7" t="s">
        <ns0:v>175</ns0:v>
      </ns0:c>
      <ns0:c r="P31" s="7" t="s">
        <ns0:v>2036</ns0:v>
      </ns0:c>
      <ns0:c r="Q31" s="7" t="s">
        <ns0:v>2037</ns0:v>
      </ns0:c>
      <ns0:c r="R31" s="7" t="s">
        <ns0:v>1854</ns0:v>
      </ns0:c>
      <ns0:c r="S31" s="73" t="str">
        <ns0:v>ものづくり×企業経営×魔法の商品化×国家への影響力×自ら事業化する帰還者</ns0:v>
      </ns0:c>
      <ns0:c r="T31" s="72" t="str">
        <ns0:v>帰還後に起業し、政治にも働きかける。細かな性格は未確認。</ns0:v>
      </ns0:c>
      <ns0:c r="U31" s="72" t="str">
        <ns0:v>主要な相手役の性格は未確認。</ns0:v>
      </ns0:c>
      <ns0:c r="V31" s="72" t="str">
        <ns0:v>魔法の強さを売上・技術革新・社会的影響へ換算する。</ns0:v>
      </ns0:c>
      <ns0:c r="W31" s="72" t="str">
        <ns0:v>自分の技術が社会を動かす拡大感。</ns0:v>
      </ns0:c>
      <ns0:c r="X31" s="72" t="str">
        <ns0:v>商品分野から国家規模へ影響が広がる。</ns0:v>
      </ns0:c>
      <ns0:c r="Y31" s="74" t="str">
        <ns0:v>紹介文の事業展開。経営成果だけで人格を決めない。</ns0:v>
      </ns0:c>
    </ns0:row>
    <ns0:row r="32" ht="67.95" customHeight="1">
      <ns0:c r="A32" s="2" t="s">
        <ns0:v>17</ns0:v>
      </ns0:c>
      <ns0:c r="B32" s="4">
        <ns0:v>27</ns0:v>
      </ns0:c>
      <ns0:c r="C32" s="2" t="s">
        <ns0:v>176</ns0:v>
      </ns0:c>
      <ns0:c r="D32" s="6" t="s">
        <ns0:v>2077</ns0:v>
      </ns0:c>
      <ns0:c r="E32" s="6" t="s">
        <ns0:v>2082</ns0:v>
      </ns0:c>
      <ns0:c r="F32" s="6" t="s">
        <ns0:v>2029</ns0:v>
      </ns0:c>
      <ns0:c r="G32" s="9" t="s">
        <ns0:v>2059</ns0:v>
      </ns0:c>
      <ns0:c r="H32" s="9" t="s">
        <ns0:v>2134</ns0:v>
      </ns0:c>
      <ns0:c r="I32" s="2" t="s">
        <ns0:v>2135</ns0:v>
      </ns0:c>
      <ns0:c r="J32" s="2" t="s">
        <ns0:v>2136</ns0:v>
      </ns0:c>
      <ns0:c r="K32" s="2" t="s">
        <ns0:v>2137</ns0:v>
      </ns0:c>
      <ns0:c r="L32" s="2" t="s">
        <ns0:v>2035</ns0:v>
      </ns0:c>
      <ns0:c r="M32" s="5" t="s">
        <ns0:v>177</ns0:v>
      </ns0:c>
      <ns0:c r="N32" s="7" t="s">
        <ns0:v>178</ns0:v>
      </ns0:c>
      <ns0:c r="O32" s="7" t="s">
        <ns0:v>180</ns0:v>
      </ns0:c>
      <ns0:c r="P32" s="7" t="s">
        <ns0:v>2036</ns0:v>
      </ns0:c>
      <ns0:c r="Q32" s="7" t="s">
        <ns0:v>2037</ns0:v>
      </ns0:c>
      <ns0:c r="R32" s="7" t="s">
        <ns0:v>1825</ns0:v>
      </ns0:c>
      <ns0:c r="S32" s="70" t="str">
        <ns0:v>解体職人×配信×料理×無自覚の超技能×腹ペコの最強少女×追放後の再評価</ns0:v>
      </ns0:c>
      <ns0:c r="T32" s="69" t="str">
        <ns0:v>自分の技を普通の職人技と考える。</ns0:v>
      </ns0:c>
      <ns0:c r="U32" s="69" t="str">
        <ns0:v>最強少女が空腹を満たしに通う。その他の性格未確認。</ns0:v>
      </ns0:c>
      <ns0:c r="V32" s="69" t="str">
        <ns0:v>戦えない職人の手仕事と食事が、最強の戦闘者に必要とされる。</ns0:v>
      </ns0:c>
      <ns0:c r="W32" s="69" t="str">
        <ns0:v>仕事の価値の発見と、強者が食事に集う親しみ。</ns0:v>
      </ns0:c>
      <ns0:c r="X32" s="69" t="str">
        <ns0:v>店への来訪と元職場の損失が予告される。</ns0:v>
      </ns0:c>
      <ns0:c r="Y32" s="71" t="str">
        <ns0:v>解体配信・まかない・少女の来店が根拠。</ns0:v>
      </ns0:c>
    </ns0:row>
    <ns0:row r="33" ht="64.05000305175781" customHeight="1">
      <ns0:c r="A33" s="2" t="s">
        <ns0:v>17</ns0:v>
      </ns0:c>
      <ns0:c r="B33" s="4">
        <ns0:v>28</ns0:v>
      </ns0:c>
      <ns0:c r="C33" s="2" t="s">
        <ns0:v>181</ns0:v>
      </ns0:c>
      <ns0:c r="D33" s="6" t="s">
        <ns0:v>2054</ns0:v>
      </ns0:c>
      <ns0:c r="E33" s="6" t="s">
        <ns0:v>2138</ns0:v>
      </ns0:c>
      <ns0:c r="F33" s="6" t="s">
        <ns0:v>2063</ns0:v>
      </ns0:c>
      <ns0:c r="G33" s="2" t="s">
        <ns0:v>2040</ns0:v>
      </ns0:c>
      <ns0:c r="H33" s="2"/>
      <ns0:c r="I33" s="2" t="s">
        <ns0:v>2139</ns0:v>
      </ns0:c>
      <ns0:c r="J33" s="2" t="s">
        <ns0:v>2140</ns0:v>
      </ns0:c>
      <ns0:c r="K33" s="2" t="s">
        <ns0:v>2141</ns0:v>
      </ns0:c>
      <ns0:c r="L33" s="2" t="s">
        <ns0:v>2035</ns0:v>
      </ns0:c>
      <ns0:c r="M33" s="5" t="s">
        <ns0:v>183</ns0:v>
      </ns0:c>
      <ns0:c r="N33" s="7" t="s">
        <ns0:v>184</ns0:v>
      </ns0:c>
      <ns0:c r="O33" s="7" t="s">
        <ns0:v>186</ns0:v>
      </ns0:c>
      <ns0:c r="P33" s="7" t="s">
        <ns0:v>2036</ns0:v>
      </ns0:c>
      <ns0:c r="Q33" s="7" t="s">
        <ns0:v>2037</ns0:v>
      </ns0:c>
      <ns0:c r="R33" s="7" t="s">
        <ns0:v>1876</ns0:v>
      </ns0:c>
      <ns0:c r="S33" s="73" t="str">
        <ns0:v>探索×母の捜索×TS×学園生活×変身後も自分であり続ける主人公</ns0:v>
      </ns0:c>
      <ns0:c r="T33" s="72" t="str">
        <ns0:v>生活・息抜き・母の捜索のため探索を続ける。</ns0:v>
      </ns0:c>
      <ns0:c r="U33" s="72" t="str">
        <ns0:v>男女の友人は登場するが性格未確認。</ns0:v>
      </ns0:c>
      <ns0:c r="V33" s="72" t="str">
        <ns0:v>身体や周囲との関係が変わっても、好きなことと家族への思いが本人をつなぐ。</ns0:v>
      </ns0:c>
      <ns0:c r="W33" s="72" t="str">
        <ns0:v>慣れない日常への共感と母の手掛かりへの関心。</ns0:v>
      </ns0:c>
      <ns0:c r="X33" s="72" t="str">
        <ns0:v>未知区域で母の痕跡と迷宮の秘密に接近。</ns0:v>
      </ns0:c>
      <ns0:c r="Y33" s="74" t="str">
        <ns0:v>紹介文の動機。ソロ探索だけでコミュ障とはしない。</ns0:v>
      </ns0:c>
    </ns0:row>
    <ns0:row r="34" ht="64.05000305175781" customHeight="1">
      <ns0:c r="A34" s="2" t="s">
        <ns0:v>17</ns0:v>
      </ns0:c>
      <ns0:c r="B34" s="4">
        <ns0:v>29</ns0:v>
      </ns0:c>
      <ns0:c r="C34" s="2" t="s">
        <ns0:v>187</ns0:v>
      </ns0:c>
      <ns0:c r="D34" s="6" t="s">
        <ns0:v>2117</ns0:v>
      </ns0:c>
      <ns0:c r="E34" s="6" t="s">
        <ns0:v>2049</ns0:v>
      </ns0:c>
      <ns0:c r="F34" s="6"/>
      <ns0:c r="G34" s="2" t="s">
        <ns0:v>2040</ns0:v>
      </ns0:c>
      <ns0:c r="H34" s="2"/>
      <ns0:c r="I34" s="2" t="s">
        <ns0:v>2142</ns0:v>
      </ns0:c>
      <ns0:c r="J34" s="2" t="s">
        <ns0:v>2143</ns0:v>
      </ns0:c>
      <ns0:c r="K34" s="2" t="s">
        <ns0:v>2144</ns0:v>
      </ns0:c>
      <ns0:c r="L34" s="2" t="s">
        <ns0:v>2035</ns0:v>
      </ns0:c>
      <ns0:c r="M34" s="5" t="s">
        <ns0:v>189</ns0:v>
      </ns0:c>
      <ns0:c r="N34" s="7" t="s">
        <ns0:v>190</ns0:v>
      </ns0:c>
      <ns0:c r="O34" s="7" t="s">
        <ns0:v>192</ns0:v>
      </ns0:c>
      <ns0:c r="P34" s="7" t="s">
        <ns0:v>2036</ns0:v>
      </ns0:c>
      <ns0:c r="Q34" s="7" t="s">
        <ns0:v>2037</ns0:v>
      </ns0:c>
      <ns0:c r="R34" s="7" t="s">
        <ns0:v>1857</ns0:v>
      </ns0:c>
      <ns0:c r="S34" s="70" t="str">
        <ns0:v>経営×ゲーム設計×規約攻略×凝り性の制作者×面白さが費用を下げる仕組み</ns0:v>
      </ns0:c>
      <ns0:c r="T34" s="69" t="str">
        <ns0:v>規約を徹夜で読み、面白いゲーム設計にこだわる。</ns0:v>
      </ns0:c>
      <ns0:c r="U34" s="69" t="str">
        <ns0:v>主要な相手役の性格は未確認。</ns0:v>
      </ns0:c>
      <ns0:c r="V34" s="69" t="str">
        <ns0:v>遊びの工夫を追求するほど経営上も有利になり、凝り性が利益へ変わる。</ns0:v>
      </ns0:c>
      <ns0:c r="W34" s="69" t="str">
        <ns0:v>仕様を見抜く納得と良い遊び場が評価される喜び。</ns0:v>
      </ns0:c>
      <ns0:c r="X34" s="69" t="str">
        <ns0:v>条件設計と集客の改善を反復できる仕組みが明記。</ns0:v>
      </ns0:c>
      <ns0:c r="Y34" s="71" t="str">
        <ns0:v>条件の面白さによる割引・理不尽には割引なしが根拠。</ns0:v>
      </ns0:c>
    </ns0:row>
    <ns0:row r="35" ht="64.05000305175781" customHeight="1">
      <ns0:c r="A35" s="2" t="s">
        <ns0:v>17</ns0:v>
      </ns0:c>
      <ns0:c r="B35" s="4">
        <ns0:v>30</ns0:v>
      </ns0:c>
      <ns0:c r="C35" s="2" t="s">
        <ns0:v>193</ns0:v>
      </ns0:c>
      <ns0:c r="D35" s="6" t="s">
        <ns0:v>2113</ns0:v>
      </ns0:c>
      <ns0:c r="E35" s="6" t="s">
        <ns0:v>2054</ns0:v>
      </ns0:c>
      <ns0:c r="F35" s="6"/>
      <ns0:c r="G35" s="2" t="s">
        <ns0:v>2040</ns0:v>
      </ns0:c>
      <ns0:c r="H35" s="2"/>
      <ns0:c r="I35" s="2" t="s">
        <ns0:v>2145</ns0:v>
      </ns0:c>
      <ns0:c r="J35" s="2" t="s">
        <ns0:v>2146</ns0:v>
      </ns0:c>
      <ns0:c r="K35" s="2" t="s">
        <ns0:v>2147</ns0:v>
      </ns0:c>
      <ns0:c r="L35" s="2" t="s">
        <ns0:v>2035</ns0:v>
      </ns0:c>
      <ns0:c r="M35" s="5" t="s">
        <ns0:v>194</ns0:v>
      </ns0:c>
      <ns0:c r="N35" s="7" t="s">
        <ns0:v>195</ns0:v>
      </ns0:c>
      <ns0:c r="O35" s="7" t="s">
        <ns0:v>197</ns0:v>
      </ns0:c>
      <ns0:c r="P35" s="7" t="s">
        <ns0:v>2036</ns0:v>
      </ns0:c>
      <ns0:c r="Q35" s="7" t="s">
        <ns0:v>2037</ns0:v>
      </ns0:c>
      <ns0:c r="R35" s="7" t="s">
        <ns0:v>1895</ns0:v>
      </ns0:c>
      <ns0:c r="S35" s="73" t="str">
        <ns0:v>子育て×探索×国家消滅級の力×甘えん坊の少女×戸惑う保護者</ns0:v>
      </ns0:c>
      <ns0:c r="T35" s="72" t="str">
        <ns0:v>危険度に戸惑いつつ少女を育てる。</ns0:v>
      </ns0:c>
      <ns0:c r="U35" s="72" t="str">
        <ns0:v>少女は父親と慕い、抱っこを求める。</ns0:v>
      </ns0:c>
      <ns0:c r="V35" s="72" t="str">
        <ns0:v>社会が恐れる力を持つ少女が、主人公には庇護を求める子供として接する。</ns0:v>
      </ns0:c>
      <ns0:c r="W35" s="72" t="str">
        <ns0:v>脅威が甘える可愛さと親子関係の安心。</ns0:v>
      </ns0:c>
      <ns0:c r="X35" s="72" t="str">
        <ns0:v>少女によって探索可能な場所と安全性が変わる。</ns0:v>
      </ns0:c>
      <ns0:c r="Y35" s="74" t="str">
        <ns0:v>甘え・主人公の危機での反応を紹介文で確認。</ns0:v>
      </ns0:c>
    </ns0:row>
    <ns0:row r="36" ht="64.05000305175781" customHeight="1">
      <ns0:c r="A36" s="2" t="s">
        <ns0:v>17</ns0:v>
      </ns0:c>
      <ns0:c r="B36" s="4">
        <ns0:v>31</ns0:v>
      </ns0:c>
      <ns0:c r="C36" s="2" t="s">
        <ns0:v>198</ns0:v>
      </ns0:c>
      <ns0:c r="D36" s="6" t="s">
        <ns0:v>2044</ns0:v>
      </ns0:c>
      <ns0:c r="E36" s="6" t="s">
        <ns0:v>2029</ns0:v>
      </ns0:c>
      <ns0:c r="F36" s="6" t="s">
        <ns0:v>2030</ns0:v>
      </ns0:c>
      <ns0:c r="G36" s="9" t="s">
        <ns0:v>2031</ns0:v>
      </ns0:c>
      <ns0:c r="H36" s="9" t="s">
        <ns0:v>2029</ns0:v>
      </ns0:c>
      <ns0:c r="I36" s="2" t="s">
        <ns0:v>2148</ns0:v>
      </ns0:c>
      <ns0:c r="J36" s="2" t="s">
        <ns0:v>2149</ns0:v>
      </ns0:c>
      <ns0:c r="K36" s="2" t="s">
        <ns0:v>2150</ns0:v>
      </ns0:c>
      <ns0:c r="L36" s="2" t="s">
        <ns0:v>2035</ns0:v>
      </ns0:c>
      <ns0:c r="M36" s="5" t="s">
        <ns0:v>200</ns0:v>
      </ns0:c>
      <ns0:c r="N36" s="7" t="s">
        <ns0:v>201</ns0:v>
      </ns0:c>
      <ns0:c r="O36" s="7" t="s">
        <ns0:v>203</ns0:v>
      </ns0:c>
      <ns0:c r="P36" s="7" t="s">
        <ns0:v>2036</ns0:v>
      </ns0:c>
      <ns0:c r="Q36" s="7" t="s">
        <ns0:v>2037</ns0:v>
      </ns0:c>
      <ns0:c r="R36" s="7" t="s">
        <ns0:v>1823</ns0:v>
      </ns0:c>
      <ns0:c r="S36" s="70" t="str">
        <ns0:v>探索配信×異世界帰還×無自覚の最強×熱心に体験を語る叔父×商機を見る姪</ns0:v>
      </ns0:c>
      <ns0:c r="T36" s="69" t="str">
        <ns0:v>異世界経験を熱心に語り、現代での規格外さを知らない。</ns0:v>
      </ns0:c>
      <ns0:c r="U36" s="69" t="str">
        <ns0:v>姪は引きこもりで、叔父の魔法を配信の好機と捉える。</ns0:v>
      </ns0:c>
      <ns0:c r="V36" s="69" t="str">
        <ns0:v>信用されなかった叔父の経験を、姪が視聴価値として見出す。</ns0:v>
      </ns0:c>
      <ns0:c r="W36" s="69" t="str">
        <ns0:v>実力の実証と身内の協働による再出発。</ns0:v>
      </ns0:c>
      <ns0:c r="X36" s="69" t="str">
        <ns0:v>神配信者化とハーレムを予告。関係の細部は未確認。</ns0:v>
      </ns0:c>
      <ns0:c r="Y36" s="71" t="str">
        <ns0:v>病室での実演と姪の勧誘が根拠。</ns0:v>
      </ns0:c>
    </ns0:row>
    <ns0:row r="37" ht="64.05000305175781" customHeight="1">
      <ns0:c r="A37" s="2" t="s">
        <ns0:v>17</ns0:v>
      </ns0:c>
      <ns0:c r="B37" s="4">
        <ns0:v>32</ns0:v>
      </ns0:c>
      <ns0:c r="C37" s="2" t="s">
        <ns0:v>204</ns0:v>
      </ns0:c>
      <ns0:c r="D37" s="6" t="s">
        <ns0:v>2050</ns0:v>
      </ns0:c>
      <ns0:c r="E37" s="6" t="s">
        <ns0:v>2151</ns0:v>
      </ns0:c>
      <ns0:c r="F37" s="6"/>
      <ns0:c r="G37" s="2" t="s">
        <ns0:v>2040</ns0:v>
      </ns0:c>
      <ns0:c r="H37" s="2"/>
      <ns0:c r="I37" s="2" t="s">
        <ns0:v>2152</ns0:v>
      </ns0:c>
      <ns0:c r="J37" s="2" t="s">
        <ns0:v>2153</ns0:v>
      </ns0:c>
      <ns0:c r="K37" s="2" t="s">
        <ns0:v>2154</ns0:v>
      </ns0:c>
      <ns0:c r="L37" s="2" t="s">
        <ns0:v>2035</ns0:v>
      </ns0:c>
      <ns0:c r="M37" s="5" t="s">
        <ns0:v>206</ns0:v>
      </ns0:c>
      <ns0:c r="N37" s="7" t="s">
        <ns0:v>207</ns0:v>
      </ns0:c>
      <ns0:c r="O37" s="7" t="s">
        <ns0:v>209</ns0:v>
      </ns0:c>
      <ns0:c r="P37" s="7" t="s">
        <ns0:v>2036</ns0:v>
      </ns0:c>
      <ns0:c r="Q37" s="7" t="s">
        <ns0:v>2037</ns0:v>
      </ns0:c>
      <ns0:c r="R37" s="7" t="s">
        <ns0:v>1813</ns0:v>
      </ns0:c>
      <ns0:c r="S37" s="73" t="str">
        <ns0:v>救助×配信事故×無双×感情の起伏が薄い青年×自分をレッサーパンダと信じるタヌキ</ns0:v>
      </ns0:c>
      <ns0:c r="T37" s="72" t="str">
        <ns0:v>感情の起伏が薄く、能力を救助に生かす。</ns0:v>
      </ns0:c>
      <ns0:c r="U37" s="72" t="str">
        <ns0:v>相棒は自分をレッサーパンダと信じ、タヌキ呼ばわりに抗議する。</ns0:v>
      </ns0:c>
      <ns0:c r="V37" s="72" t="str">
        <ns0:v>冷静な救助者と自己認識に癖のある相棒の会話が、救助の頼もしさに笑いを添える。</ns0:v>
      </ns0:c>
      <ns0:c r="W37" s="72" t="str">
        <ns0:v>救助成功への安心と相棒同士の掛け合い。</ns0:v>
      </ns0:c>
      <ns0:c r="X37" s="72" t="str">
        <ns0:v>企業の救助業務として出動の反復が示される。</ns0:v>
      </ns0:c>
      <ns0:c r="Y37" s="74" t="str">
        <ns0:v>性格は紹介文に明記。無口・コミュ障とは同一視しない。</ns0:v>
      </ns0:c>
    </ns0:row>
    <ns0:row r="38" ht="64.05000305175781" customHeight="1">
      <ns0:c r="A38" s="2" t="s">
        <ns0:v>17</ns0:v>
      </ns0:c>
      <ns0:c r="B38" s="4">
        <ns0:v>33</ns0:v>
      </ns0:c>
      <ns0:c r="C38" s="2" t="s">
        <ns0:v>210</ns0:v>
      </ns0:c>
      <ns0:c r="D38" s="6" t="s">
        <ns0:v>2063</ns0:v>
      </ns0:c>
      <ns0:c r="E38" s="6" t="s">
        <ns0:v>2044</ns0:v>
      </ns0:c>
      <ns0:c r="F38" s="6"/>
      <ns0:c r="G38" s="2" t="s">
        <ns0:v>2040</ns0:v>
      </ns0:c>
      <ns0:c r="H38" s="2"/>
      <ns0:c r="I38" s="2" t="s">
        <ns0:v>2155</ns0:v>
      </ns0:c>
      <ns0:c r="J38" s="2" t="s">
        <ns0:v>2156</ns0:v>
      </ns0:c>
      <ns0:c r="K38" s="2" t="s">
        <ns0:v>2157</ns0:v>
      </ns0:c>
      <ns0:c r="L38" s="2" t="s">
        <ns0:v>2035</ns0:v>
      </ns0:c>
      <ns0:c r="M38" s="5" t="s">
        <ns0:v>212</ns0:v>
      </ns0:c>
      <ns0:c r="N38" s="7" t="s">
        <ns0:v>213</ns0:v>
      </ns0:c>
      <ns0:c r="O38" s="7" t="s">
        <ns0:v>215</ns0:v>
      </ns0:c>
      <ns0:c r="P38" s="7" t="s">
        <ns0:v>2036</ns0:v>
      </ns0:c>
      <ns0:c r="Q38" s="7" t="s">
        <ns0:v>2037</ns0:v>
      </ns0:c>
      <ns0:c r="R38" s="7" t="s">
        <ns0:v>1839</ns0:v>
      </ns0:c>
      <ns0:c r="S38" s="70" t="str">
        <ns0:v>探索配信×剣の無双×普通の青春願望×世間知らずの人斬り少年</ns0:v>
      </ns0:c>
      <ns0:c r="T38" s="69" t="str">
        <ns0:v>都会の普通の暮らしに憧れ、現代社会に疎い。</ns0:v>
      </ns0:c>
      <ns0:c r="U38" s="69" t="str">
        <ns0:v>主要な相手役の性格は未確認。</ns0:v>
      </ns0:c>
      <ns0:c r="V38" s="69" t="str">
        <ns0:v>本人が欲しい平凡さと、世間が見出す危険な卓越性が食い違う。</ns0:v>
      </ns0:c>
      <ns0:c r="W38" s="69" t="str">
        <ns0:v>日常での不慣れさと剣技の鮮烈さの落差。</ns0:v>
      </ns0:c>
      <ns0:c r="X38" s="69" t="str">
        <ns0:v>配信への注目と人斬りの才能の開花を予告。</ns0:v>
      </ns0:c>
      <ns0:c r="Y38" s="71" t="str">
        <ns0:v>普通への憧れと社会知識の不足が根拠。</ns0:v>
      </ns0:c>
    </ns0:row>
    <ns0:row r="39" ht="64.05000305175781" customHeight="1">
      <ns0:c r="A39" s="2" t="s">
        <ns0:v>17</ns0:v>
      </ns0:c>
      <ns0:c r="B39" s="4">
        <ns0:v>34</ns0:v>
      </ns0:c>
      <ns0:c r="C39" s="2" t="s">
        <ns0:v>216</ns0:v>
      </ns0:c>
      <ns0:c r="D39" s="10" t="s">
        <ns0:v>2158</ns0:v>
      </ns0:c>
      <ns0:c r="E39" s="10"/>
      <ns0:c r="F39" s="10"/>
      <ns0:c r="G39" s="11" t="s">
        <ns0:v>2159</ns0:v>
      </ns0:c>
      <ns0:c r="H39" s="11"/>
      <ns0:c r="I39" s="2" t="s">
        <ns0:v>2160</ns0:v>
      </ns0:c>
      <ns0:c r="J39" s="2" t="s">
        <ns0:v>2161</ns0:v>
      </ns0:c>
      <ns0:c r="K39" s="2" t="s">
        <ns0:v>2162</ns0:v>
      </ns0:c>
      <ns0:c r="L39" s="2" t="s">
        <ns0:v>2163</ns0:v>
      </ns0:c>
      <ns0:c r="M39" s="5" t="s">
        <ns0:v>218</ns0:v>
      </ns0:c>
      <ns0:c r="N39" s="7" t="s">
        <ns0:v>219</ns0:v>
      </ns0:c>
      <ns0:c r="O39" s="7" t="s">
        <ns0:v>221</ns0:v>
      </ns0:c>
      <ns0:c r="P39" s="7" t="s">
        <ns0:v>2036</ns0:v>
      </ns0:c>
      <ns0:c r="Q39" s="7" t="s">
        <ns0:v>2037</ns0:v>
      </ns0:c>
      <ns0:c r="R39" s="7" t="s">
        <ns0:v>1889</ns0:v>
      </ns0:c>
      <ns0:c r="S39" s="73" t="str">
        <ns0:v>主ベース保留×魔法無双×TS転生×失声症×犠牲を選んだ元大賢者</ns0:v>
      </ns0:c>
      <ns0:c r="T39" s="72" t="str">
        <ns0:v>前世では身を犠牲にした。転生後の性格は限定的にしか分からない。</ns0:v>
      </ns0:c>
      <ns0:c r="U39" s="72" t="str">
        <ns0:v>主要な相手役の性格は未確認。</ns0:v>
      </ns0:c>
      <ns0:c r="V39" s="72" t="str">
        <ns0:v>詠唱不能という制約を熟練で越える力と、気持ちを伝える不便さが並存する。</ns0:v>
      </ns0:c>
      <ns0:c r="W39" s="72" t="str">
        <ns0:v>制約克服の頼もしさと伝わることへの期待。</ns0:v>
      </ns0:c>
      <ns0:c r="X39" s="72" t="str">
        <ns0:v>配信・ガールズラブはタグ情報。反復する主活動は未確認。</ns0:v>
      </ns0:c>
      <ns0:c r="Y39" s="74" t="str">
        <ns0:v>失声症は身体の状態であり、コミュ障という性格には置き換えない。</ns0:v>
      </ns0:c>
    </ns0:row>
    <ns0:row r="40" ht="64.05000305175781" customHeight="1">
      <ns0:c r="A40" s="2" t="s">
        <ns0:v>17</ns0:v>
      </ns0:c>
      <ns0:c r="B40" s="4">
        <ns0:v>35</ns0:v>
      </ns0:c>
      <ns0:c r="C40" s="2" t="s">
        <ns0:v>222</ns0:v>
      </ns0:c>
      <ns0:c r="D40" s="6" t="s">
        <ns0:v>2029</ns0:v>
      </ns0:c>
      <ns0:c r="E40" s="6"/>
      <ns0:c r="F40" s="6"/>
      <ns0:c r="G40" s="9" t="s">
        <ns0:v>2059</ns0:v>
      </ns0:c>
      <ns0:c r="H40" s="9" t="s">
        <ns0:v>2029</ns0:v>
      </ns0:c>
      <ns0:c r="I40" s="2" t="s">
        <ns0:v>2164</ns0:v>
      </ns0:c>
      <ns0:c r="J40" s="2" t="s">
        <ns0:v>2165</ns0:v>
      </ns0:c>
      <ns0:c r="K40" s="2" t="s">
        <ns0:v>2166</ns0:v>
      </ns0:c>
      <ns0:c r="L40" s="2" t="s">
        <ns0:v>2035</ns0:v>
      </ns0:c>
      <ns0:c r="M40" s="5" t="s">
        <ns0:v>224</ns0:v>
      </ns0:c>
      <ns0:c r="N40" s="7" t="s">
        <ns0:v>225</ns0:v>
      </ns0:c>
      <ns0:c r="O40" s="7" t="s">
        <ns0:v>227</ns0:v>
      </ns0:c>
      <ns0:c r="P40" s="7" t="s">
        <ns0:v>2036</ns0:v>
      </ns0:c>
      <ns0:c r="Q40" s="7" t="s">
        <ns0:v>2037</ns0:v>
      </ns0:c>
      <ns0:c r="R40" s="7" t="s">
        <ns0:v>1855</ns0:v>
      </ns0:c>
      <ns0:c r="S40" s="70" t="str">
        <ns0:v>配信×異世界体験の公開×無双×思いつきで始める帰還者</ns0:v>
      </ns0:c>
      <ns0:c r="T40" s="69" t="str">
        <ns0:v>異世界の話には需要があると考えて配信を始める。</ns0:v>
      </ns0:c>
      <ns0:c r="U40" s="69" t="str">
        <ns0:v>主要な相手役の性格は未確認。</ns0:v>
      </ns0:c>
      <ns0:c r="V40" s="69" t="str">
        <ns0:v>非日常の当事者が体験を話題にする構図。独自の性格による捻りはまだ読み取れない。</ns0:v>
      </ns0:c>
      <ns0:c r="W40" s="69" t="str">
        <ns0:v>未知の体験の開示と視聴者の反応。</ns0:v>
      </ns0:c>
      <ns0:c r="X40" s="69" t="str">
        <ns0:v>紹介文が短く、配信の変奏や関係変化は未確認。</ns0:v>
      </ns0:c>
      <ns0:c r="Y40" s="71" t="str">
        <ns0:v>配信開始は紹介文、無双はタグ。性格の補完はしない。</ns0:v>
      </ns0:c>
    </ns0:row>
    <ns0:row r="41" ht="64.05000305175781" customHeight="1">
      <ns0:c r="A41" s="2" t="s">
        <ns0:v>17</ns0:v>
      </ns0:c>
      <ns0:c r="B41" s="4">
        <ns0:v>36</ns0:v>
      </ns0:c>
      <ns0:c r="C41" s="2" t="s">
        <ns0:v>228</ns0:v>
      </ns0:c>
      <ns0:c r="D41" s="6" t="s">
        <ns0:v>2102</ns0:v>
      </ns0:c>
      <ns0:c r="E41" s="6" t="s">
        <ns0:v>2063</ns0:v>
      </ns0:c>
      <ns0:c r="F41" s="6"/>
      <ns0:c r="G41" s="2" t="s">
        <ns0:v>2040</ns0:v>
      </ns0:c>
      <ns0:c r="H41" s="2"/>
      <ns0:c r="I41" s="2" t="s">
        <ns0:v>2167</ns0:v>
      </ns0:c>
      <ns0:c r="J41" s="2" t="s">
        <ns0:v>2168</ns0:v>
      </ns0:c>
      <ns0:c r="K41" s="2" t="s">
        <ns0:v>2169</ns0:v>
      </ns0:c>
      <ns0:c r="L41" s="2" t="s">
        <ns0:v>2035</ns0:v>
      </ns0:c>
      <ns0:c r="M41" s="5" t="s">
        <ns0:v>230</ns0:v>
      </ns0:c>
      <ns0:c r="N41" s="7" t="s">
        <ns0:v>231</ns0:v>
      </ns0:c>
      <ns0:c r="O41" s="7" t="s">
        <ns0:v>233</ns0:v>
      </ns0:c>
      <ns0:c r="P41" s="7" t="s">
        <ns0:v>2036</ns0:v>
      </ns0:c>
      <ns0:c r="Q41" s="7" t="s">
        <ns0:v>2037</ns0:v>
      </ns0:c>
      <ns0:c r="R41" s="7" t="s">
        <ns0:v>1856</ns0:v>
      </ns0:c>
      <ns0:c r="S41" s="73" t="str">
        <ns0:v>恋愛×異世界帰りの仲間×主人公だけ記憶なし×自己認識の低い少年×再び愛を求める妻たち</ns0:v>
      </ns0:c>
      <ns0:c r="T41" s="72" t="str">
        <ns0:v>自分を普通の陰キャオタクと捉える。</ns0:v>
      </ns0:c>
      <ns0:c r="U41" s="72" t="str">
        <ns0:v>妻たちは積極的に接近。仲間たちは英雄への愛情と記憶を共有。</ns0:v>
      </ns0:c>
      <ns0:c r="V41" s="72" t="str">
        <ns0:v>主人公には唐突な好意が、相手には失った伴侶との再会である。</ns0:v>
      </ns0:c>
      <ns0:c r="W41" s="72" t="str">
        <ns0:v>好意の理由を知る優越感と記憶の隔たりが縮まる期待。</ns0:v>
      </ns0:c>
      <ns0:c r="X41" s="72" t="str">
        <ns0:v>二度目の青春・異世界を予告。妻ごとの性格差は未確認。</ns0:v>
      </ns0:c>
      <ns0:c r="Y41" s="74" t="str">
        <ns0:v>紹介文の記憶差が根拠。全員をヤンデレとはしない。</ns0:v>
      </ns0:c>
    </ns0:row>
    <ns0:row r="42" ht="64.05000305175781" customHeight="1">
      <ns0:c r="A42" s="2" t="s">
        <ns0:v>17</ns0:v>
      </ns0:c>
      <ns0:c r="B42" s="4">
        <ns0:v>37</ns0:v>
      </ns0:c>
      <ns0:c r="C42" s="2" t="s">
        <ns0:v>234</ns0:v>
      </ns0:c>
      <ns0:c r="D42" s="6" t="s">
        <ns0:v>2044</ns0:v>
      </ns0:c>
      <ns0:c r="E42" s="6" t="s">
        <ns0:v>2054</ns0:v>
      </ns0:c>
      <ns0:c r="F42" s="6"/>
      <ns0:c r="G42" s="2" t="s">
        <ns0:v>2040</ns0:v>
      </ns0:c>
      <ns0:c r="H42" s="2"/>
      <ns0:c r="I42" s="2" t="s">
        <ns0:v>2170</ns0:v>
      </ns0:c>
      <ns0:c r="J42" s="2" t="s">
        <ns0:v>2171</ns0:v>
      </ns0:c>
      <ns0:c r="K42" s="2" t="s">
        <ns0:v>2172</ns0:v>
      </ns0:c>
      <ns0:c r="L42" s="2" t="s">
        <ns0:v>2173</ns0:v>
      </ns0:c>
      <ns0:c r="M42" s="5" t="s">
        <ns0:v>236</ns0:v>
      </ns0:c>
      <ns0:c r="N42" s="7" t="s">
        <ns0:v>237</ns0:v>
      </ns0:c>
      <ns0:c r="O42" s="7" t="s">
        <ns0:v>239</ns0:v>
      </ns0:c>
      <ns0:c r="P42" s="7" t="s">
        <ns0:v>2036</ns0:v>
      </ns0:c>
      <ns0:c r="Q42" s="7" t="s">
        <ns0:v>2037</ns0:v>
      </ns0:c>
      <ns0:c r="R42" s="7" t="s">
        <ns0:v>1902</ns0:v>
      </ns0:c>
      <ns0:c r="S42" s="70" t="str">
        <ns0:v>成り上がり×探索×不適性判定×聖剣と妖刀の二刀×掃除屋の継続経験</ns0:v>
      </ns0:c>
      <ns0:c r="T42" s="69" t="str">
        <ns0:v>三年間の雑魚狩りを続ける。対人性格は未確認。</ns0:v>
      </ns0:c>
      <ns0:c r="U42" s="69" t="str">
        <ns0:v>主要な相手役の性格は未確認。</ns0:v>
      </ns0:c>
      <ns0:c r="V42" s="69" t="str">
        <ns0:v>探索者未満という扱いと神話級武器二本の所有が、到達可能性を大きく変える。</ns0:v>
      </ns0:c>
      <ns0:c r="W42" s="69" t="str">
        <ns0:v>低い立場から可能性が開く高揚。</ns0:v>
      </ns0:c>
      <ns0:c r="X42" s="69" t="str">
        <ns0:v>武器入手後の変奏は紹介文では未確認。</ns0:v>
      </ns0:c>
      <ns0:c r="Y42" s="71" t="str">
        <ns0:v>反復労働と剣の入手が根拠。聖剣・妖刀に人格は補わない。</ns0:v>
      </ns0:c>
    </ns0:row>
    <ns0:row r="43" ht="64.05000305175781" customHeight="1">
      <ns0:c r="A43" s="2" t="s">
        <ns0:v>17</ns0:v>
      </ns0:c>
      <ns0:c r="B43" s="4">
        <ns0:v>38</ns0:v>
      </ns0:c>
      <ns0:c r="C43" s="2" t="s">
        <ns0:v>240</ns0:v>
      </ns0:c>
      <ns0:c r="D43" s="6" t="s">
        <ns0:v>2049</ns0:v>
      </ns0:c>
      <ns0:c r="E43" s="6" t="s">
        <ns0:v>2117</ns0:v>
      </ns0:c>
      <ns0:c r="F43" s="6" t="s">
        <ns0:v>2174</ns0:v>
      </ns0:c>
      <ns0:c r="G43" s="2" t="s">
        <ns0:v>2040</ns0:v>
      </ns0:c>
      <ns0:c r="H43" s="2"/>
      <ns0:c r="I43" s="2" t="s">
        <ns0:v>2175</ns0:v>
      </ns0:c>
      <ns0:c r="J43" s="2" t="s">
        <ns0:v>2176</ns0:v>
      </ns0:c>
      <ns0:c r="K43" s="2" t="s">
        <ns0:v>2177</ns0:v>
      </ns0:c>
      <ns0:c r="L43" s="2" t="s">
        <ns0:v>2035</ns0:v>
      </ns0:c>
      <ns0:c r="M43" s="5" t="s">
        <ns0:v>241</ns0:v>
      </ns0:c>
      <ns0:c r="N43" s="7" t="s">
        <ns0:v>242</ns0:v>
      </ns0:c>
      <ns0:c r="O43" s="7" t="s">
        <ns0:v>244</ns0:v>
      </ns0:c>
      <ns0:c r="P43" s="7" t="s">
        <ns0:v>2036</ns0:v>
      </ns0:c>
      <ns0:c r="Q43" s="7" t="s">
        <ns0:v>2037</ns0:v>
      </ns0:c>
      <ns0:c r="R43" s="7" t="s">
        <ns0:v>1872</ns0:v>
      </ns0:c>
      <ns0:c r="S43" s="73" t="str">
        <ns0:v>工場建設×自動化×国家交渉×工場に夢中の技術者×国家の警戒</ns0:v>
      </ns0:c>
      <ns0:c r="T43" s="72" t="str">
        <ns0:v>工場拡張に夢中で、金・権力より面倒な管理の委託を望む。</ns0:v>
      </ns0:c>
      <ns0:c r="U43" s="72" t="str">
        <ns0:v>政府側は技術の正体と影響を警戒する。個人性格未確認。</ns0:v>
      </ns0:c>
      <ns0:c r="V43" s="72" t="str">
        <ns0:v>国家を揺るがす技術を、本人は工場遊びを快適にする交換材料として扱う。</ns0:v>
      </ns0:c>
      <ns0:c r="W43" s="72" t="str">
        <ns0:v>本人と国家の関心の落差、拡張と委託の解放感。</ns0:v>
      </ns0:c>
      <ns0:c r="X43" s="72" t="str">
        <ns0:v>資源・医療・物流・鉄道と対象が広がる。</ns0:v>
      </ns0:c>
      <ns0:c r="Y43" s="74" t="str">
        <ns0:v>本人の要求と政府の反応を紹介文で確認。</ns0:v>
      </ns0:c>
    </ns0:row>
    <ns0:row r="44" ht="64.05000305175781" customHeight="1">
      <ns0:c r="A44" s="2" t="s">
        <ns0:v>17</ns0:v>
      </ns0:c>
      <ns0:c r="B44" s="4">
        <ns0:v>39</ns0:v>
      </ns0:c>
      <ns0:c r="C44" s="2" t="s">
        <ns0:v>245</ns0:v>
      </ns0:c>
      <ns0:c r="D44" s="6" t="s">
        <ns0:v>2030</ns0:v>
      </ns0:c>
      <ns0:c r="E44" s="6" t="s">
        <ns0:v>2044</ns0:v>
      </ns0:c>
      <ns0:c r="F44" s="6"/>
      <ns0:c r="G44" s="2" t="s">
        <ns0:v>2040</ns0:v>
      </ns0:c>
      <ns0:c r="H44" s="2"/>
      <ns0:c r="I44" s="2" t="s">
        <ns0:v>2178</ns0:v>
      </ns0:c>
      <ns0:c r="J44" s="2" t="s">
        <ns0:v>2179</ns0:v>
      </ns0:c>
      <ns0:c r="K44" s="2" t="s">
        <ns0:v>2180</ns0:v>
      </ns0:c>
      <ns0:c r="L44" s="2" t="s">
        <ns0:v>2035</ns0:v>
      </ns0:c>
      <ns0:c r="M44" s="5" t="s">
        <ns0:v>247</ns0:v>
      </ns0:c>
      <ns0:c r="N44" s="7" t="s">
        <ns0:v>248</ns0:v>
      </ns0:c>
      <ns0:c r="O44" s="7" t="s">
        <ns0:v>250</ns0:v>
      </ns0:c>
      <ns0:c r="P44" s="7" t="s">
        <ns0:v>2036</ns0:v>
      </ns0:c>
      <ns0:c r="Q44" s="7" t="s">
        <ns0:v>2037</ns0:v>
      </ns0:c>
      <ns0:c r="R44" s="7" t="s">
        <ns0:v>1836</ns0:v>
      </ns0:c>
      <ns0:c r="S44" s="70" t="str">
        <ns0:v>再評価×配信事故×無双×目立ちたくない淡々とした運び屋×手柄を奪う元仲間</ns0:v>
      </ns0:c>
      <ns0:c r="T44" s="69" t="str">
        <ns0:v>目立つのを嫌い、最低限の仕事と帰還を望む。</ns0:v>
      </ns0:c>
      <ns0:c r="U44" s="69" t="str">
        <ns0:v>元仲間は仕事を認めず危険地帯に置き去りにする。</ns0:v>
      </ns0:c>
      <ns0:c r="V44" s="69" t="str">
        <ns0:v>本人には帰宅のための処理が、視聴者には過小評価を覆す公開証拠になる。</ns0:v>
      </ns0:c>
      <ns0:c r="W44" s="69" t="str">
        <ns0:v>無表情の実力発揮と記録による評価逆転。</ns0:v>
      </ns0:c>
      <ns0:c r="X44" s="69" t="str">
        <ns0:v>映像から過去発言・協会記録へ再検証が広がる。</ns0:v>
      </ns0:c>
      <ns0:c r="Y44" s="71" t="str">
        <ns0:v>紹介文の行動と記録の波及が根拠。</ns0:v>
      </ns0:c>
    </ns0:row>
    <ns0:row r="45" ht="64.05000305175781" customHeight="1">
      <ns0:c r="A45" s="2" t="s">
        <ns0:v>17</ns0:v>
      </ns0:c>
      <ns0:c r="B45" s="4">
        <ns0:v>40</ns0:v>
      </ns0:c>
      <ns0:c r="C45" s="2" t="s">
        <ns0:v>251</ns0:v>
      </ns0:c>
      <ns0:c r="D45" s="6" t="s">
        <ns0:v>2151</ns0:v>
      </ns0:c>
      <ns0:c r="E45" s="6" t="s">
        <ns0:v>2028</ns0:v>
      </ns0:c>
      <ns0:c r="F45" s="6" t="s">
        <ns0:v>2044</ns0:v>
      </ns0:c>
      <ns0:c r="G45" s="2" t="s">
        <ns0:v>2040</ns0:v>
      </ns0:c>
      <ns0:c r="H45" s="2"/>
      <ns0:c r="I45" s="2" t="s">
        <ns0:v>2181</ns0:v>
      </ns0:c>
      <ns0:c r="J45" s="2" t="s">
        <ns0:v>2182</ns0:v>
      </ns0:c>
      <ns0:c r="K45" s="2" t="s">
        <ns0:v>2183</ns0:v>
      </ns0:c>
      <ns0:c r="L45" s="2" t="s">
        <ns0:v>2035</ns0:v>
      </ns0:c>
      <ns0:c r="M45" s="5" t="s">
        <ns0:v>253</ns0:v>
      </ns0:c>
      <ns0:c r="N45" s="7" t="s">
        <ns0:v>254</ns0:v>
      </ns0:c>
      <ns0:c r="O45" s="7" t="s">
        <ns0:v>256</ns0:v>
      </ns0:c>
      <ns0:c r="P45" s="7" t="s">
        <ns0:v>2036</ns0:v>
      </ns0:c>
      <ns0:c r="Q45" s="7" t="s">
        <ns0:v>2037</ns0:v>
      </ns0:c>
      <ns0:c r="R45" s="7" t="s">
        <ns0:v>1881</ns0:v>
      </ns0:c>
      <ns0:c r="S45" s="73" t="str">
        <ns0:v>育成×召喚×探索×妄想好きの少年×小動物から神獣への成長</ns0:v>
      </ns0:c>
      <ns0:c r="T45" s="72" t="str">
        <ns0:v>空想好きで、弱い段階から育てる方針を選ぶ。</ns0:v>
      </ns0:c>
      <ns0:c r="U45" s="72" t="str">
        <ns0:v>召喚獣は記憶と人格を保持。個別の性格は未確認。</ns0:v>
      </ns0:c>
      <ns0:c r="V45" s="72" t="str">
        <ns0:v>空想の壮大さを、小さな相棒との積み重ねで実現していく。</ns0:v>
      </ns0:c>
      <ns0:c r="W45" s="72" t="str">
        <ns0:v>愛着を保ったまま強くなる喜びと空想の実現。</ns0:v>
      </ns0:c>
      <ns0:c r="X45" s="72" t="str">
        <ns0:v>戦闘・食事・魔石で成長する反復が明記。</ns0:v>
      </ns0:c>
      <ns0:c r="Y45" s="74" t="str">
        <ns0:v>初期の召喚制限と人格継続が根拠。</ns0:v>
      </ns0:c>
    </ns0:row>
    <ns0:row r="46" ht="82.05000305175781" customHeight="1">
      <ns0:c r="A46" s="2" t="s">
        <ns0:v>17</ns0:v>
      </ns0:c>
      <ns0:c r="B46" s="4">
        <ns0:v>41</ns0:v>
      </ns0:c>
      <ns0:c r="C46" s="2" t="s">
        <ns0:v>257</ns0:v>
      </ns0:c>
      <ns0:c r="D46" s="6" t="s">
        <ns0:v>2073</ns0:v>
      </ns0:c>
      <ns0:c r="E46" s="6" t="s">
        <ns0:v>2030</ns0:v>
      </ns0:c>
      <ns0:c r="F46" s="6"/>
      <ns0:c r="G46" s="2" t="s">
        <ns0:v>2040</ns0:v>
      </ns0:c>
      <ns0:c r="H46" s="2"/>
      <ns0:c r="I46" s="2" t="s">
        <ns0:v>2184</ns0:v>
      </ns0:c>
      <ns0:c r="J46" s="2" t="s">
        <ns0:v>2185</ns0:v>
      </ns0:c>
      <ns0:c r="K46" s="2" t="s">
        <ns0:v>2186</ns0:v>
      </ns0:c>
      <ns0:c r="L46" s="2" t="s">
        <ns0:v>2035</ns0:v>
      </ns0:c>
      <ns0:c r="M46" s="5" t="s">
        <ns0:v>259</ns0:v>
      </ns0:c>
      <ns0:c r="N46" s="7" t="s">
        <ns0:v>260</ns0:v>
      </ns0:c>
      <ns0:c r="O46" s="7" t="s">
        <ns0:v>262</ns0:v>
      </ns0:c>
      <ns0:c r="P46" s="7" t="s">
        <ns0:v>2036</ns0:v>
      </ns0:c>
      <ns0:c r="Q46" s="7" t="s">
        <ns0:v>2037</ns0:v>
      </ns0:c>
      <ns0:c r="R46" s="7" t="s">
        <ns0:v>1852</ns0:v>
      </ns0:c>
      <ns0:c r="S46" s="70" t="str">
        <ns0:v>人生逆転×異世界帰還×制裁×極限を経験した中年×裏切った家族と上司</ns0:v>
      </ns0:c>
      <ns0:c r="T46" s="69" t="str">
        <ns0:v>異世界の絶望に比べ、現実の理不尽を小さく捉える。</ns0:v>
      </ns0:c>
      <ns0:c r="U46" s="69" t="str">
        <ns0:v>妻・上司は不倫し、娘は主人公を嘲笑する。</ns0:v>
      </ns0:c>
      <ns0:c r="V46" s="69" t="str">
        <ns0:v>最悪の経験が精神的な物差しを変え、かつて傷つけられた相手に屈しなくなる。</ns0:v>
      </ns0:c>
      <ns0:c r="W46" s="69" t="str">
        <ns0:v>理不尽に動じない安心と立場の逆転。</ns0:v>
      </ns0:c>
      <ns0:c r="X46" s="69" t="str">
        <ns0:v>現実での人生逆転を予告。具体的な反復は未確認。</ns0:v>
      </ns0:c>
      <ns0:c r="Y46" s="71" t="str">
        <ns0:v>紹介文の比較発言が根拠。敗北経験も強さの由来。</ns0:v>
      </ns0:c>
    </ns0:row>
    <ns0:row r="47" ht="64.05000305175781" customHeight="1">
      <ns0:c r="A47" s="2" t="s">
        <ns0:v>17</ns0:v>
      </ns0:c>
      <ns0:c r="B47" s="4">
        <ns0:v>42</ns0:v>
      </ns0:c>
      <ns0:c r="C47" s="2" t="s">
        <ns0:v>263</ns0:v>
      </ns0:c>
      <ns0:c r="D47" s="6" t="s">
        <ns0:v>2054</ns0:v>
      </ns0:c>
      <ns0:c r="E47" s="6"/>
      <ns0:c r="F47" s="6"/>
      <ns0:c r="G47" s="2" t="s">
        <ns0:v>2040</ns0:v>
      </ns0:c>
      <ns0:c r="H47" s="2"/>
      <ns0:c r="I47" s="2" t="s">
        <ns0:v>2187</ns0:v>
      </ns0:c>
      <ns0:c r="J47" s="2" t="s">
        <ns0:v>2188</ns0:v>
      </ns0:c>
      <ns0:c r="K47" s="2" t="s">
        <ns0:v>2189</ns0:v>
      </ns0:c>
      <ns0:c r="L47" s="2" t="s">
        <ns0:v>2173</ns0:v>
      </ns0:c>
      <ns0:c r="M47" s="5" t="s">
        <ns0:v>265</ns0:v>
      </ns0:c>
      <ns0:c r="N47" s="7" t="s">
        <ns0:v>266</ns0:v>
      </ns0:c>
      <ns0:c r="O47" s="7" t="s">
        <ns0:v>268</ns0:v>
      </ns0:c>
      <ns0:c r="P47" s="7" t="s">
        <ns0:v>2036</ns0:v>
      </ns0:c>
      <ns0:c r="Q47" s="7" t="s">
        <ns0:v>2037</ns0:v>
      </ns0:c>
      <ns0:c r="R47" s="7" t="s">
        <ns0:v>1828</ns0:v>
      </ns0:c>
      <ns0:c r="S47" s="73" t="str">
        <ns0:v>探索×未知への渇望×寄生虫×正体露見への焦り×無目的な生活から踏み出す男性</ns0:v>
      </ns0:c>
      <ns0:c r="T47" s="72" t="str">
        <ns0:v>後悔したくない思いから退職し、危険な未知へ入る。</ns0:v>
      </ns0:c>
      <ns0:c r="U47" s="72" t="str">
        <ns0:v>寄生虫の意志・性格・関係性は未確認。</ns0:v>
      </ns0:c>
      <ns0:c r="V47" s="72" t="str">
        <ns0:v>未知への憧れから入る探索に、発覚前に強くなる切迫が重なる。</ns0:v>
      </ns0:c>
      <ns0:c r="W47" s="72" t="str">
        <ns0:v>未知に触れる高揚と何が露見するかへの関心。</ns0:v>
      </ns0:c>
      <ns0:c r="X47" s="72" t="str">
        <ns0:v>寄生と成長の仕組みは紹介文では未確認。</ns0:v>
      </ns0:c>
      <ns0:c r="Y47" s="74" t="str">
        <ns0:v>寄生虫は題名、露見の焦りはキャッチ。共生相棒とは断定しない。</ns0:v>
      </ns0:c>
    </ns0:row>
    <ns0:row r="48" ht="64.05000305175781" customHeight="1">
      <ns0:c r="A48" s="2" t="s">
        <ns0:v>17</ns0:v>
      </ns0:c>
      <ns0:c r="B48" s="4">
        <ns0:v>43</ns0:v>
      </ns0:c>
      <ns0:c r="C48" s="2" t="s">
        <ns0:v>269</ns0:v>
      </ns0:c>
      <ns0:c r="D48" s="6" t="s">
        <ns0:v>2063</ns0:v>
      </ns0:c>
      <ns0:c r="E48" s="6" t="s">
        <ns0:v>2048</ns0:v>
      </ns0:c>
      <ns0:c r="F48" s="6"/>
      <ns0:c r="G48" s="2" t="s">
        <ns0:v>2040</ns0:v>
      </ns0:c>
      <ns0:c r="H48" s="2"/>
      <ns0:c r="I48" s="2" t="s">
        <ns0:v>2190</ns0:v>
      </ns0:c>
      <ns0:c r="J48" s="2" t="s">
        <ns0:v>2191</ns0:v>
      </ns0:c>
      <ns0:c r="K48" s="2" t="s">
        <ns0:v>2192</ns0:v>
      </ns0:c>
      <ns0:c r="L48" s="2" t="s">
        <ns0:v>2035</ns0:v>
      </ns0:c>
      <ns0:c r="M48" s="5" t="s">
        <ns0:v>271</ns0:v>
      </ns0:c>
      <ns0:c r="N48" s="7" t="s">
        <ns0:v>272</ns0:v>
      </ns0:c>
      <ns0:c r="O48" s="7" t="s">
        <ns0:v>274</ns0:v>
      </ns0:c>
      <ns0:c r="P48" s="7" t="s">
        <ns0:v>2036</ns0:v>
      </ns0:c>
      <ns0:c r="Q48" s="7" t="s">
        <ns0:v>2037</ns0:v>
      </ns0:c>
      <ns0:c r="R48" s="7" t="s">
        <ns0:v>1834</ns0:v>
      </ns0:c>
      <ns0:c r="S48" s="70" t="str">
        <ns0:v>自由な生活×超能力×金稼ぎ×十三年間努力した怠惰志向の主人公</ns0:v>
      </ns0:c>
      <ns0:c r="T48" s="69" t="str">
        <ns0:v>修練は続けるが、獲得後は就職せず楽をしたい。</ns0:v>
      </ns0:c>
      <ns0:c r="U48" s="69" t="str">
        <ns0:v>主要な相手役の性格は未確認。</ns0:v>
      </ns0:c>
      <ns0:c r="V48" s="69" t="str">
        <ns0:v>努力する力が、立派な使命でなく好きに怠けるために使われる。</ns0:v>
      </ns0:c>
      <ns0:c r="W48" s="69" t="str">
        <ns0:v>積み上げの報いと生活上の束縛からの解放。</ns0:v>
      </ns0:c>
      <ns0:c r="X48" s="69" t="str">
        <ns0:v>複数の稼ぎ方への応用を紹介。対人関係の変化は未確認。</ns0:v>
      </ns0:c>
      <ns0:c r="Y48" s="71" t="str">
        <ns0:v>本人の怠惰方針と個人からは盗らないルールが根拠。</ns0:v>
      </ns0:c>
    </ns0:row>
    <ns0:row r="49" ht="64.05000305175781" customHeight="1">
      <ns0:c r="A49" s="2" t="s">
        <ns0:v>17</ns0:v>
      </ns0:c>
      <ns0:c r="B49" s="4">
        <ns0:v>44</ns0:v>
      </ns0:c>
      <ns0:c r="C49" s="2" t="s">
        <ns0:v>275</ns0:v>
      </ns0:c>
      <ns0:c r="D49" s="6" t="s">
        <ns0:v>2044</ns0:v>
      </ns0:c>
      <ns0:c r="E49" s="6"/>
      <ns0:c r="F49" s="6"/>
      <ns0:c r="G49" s="2" t="s">
        <ns0:v>2040</ns0:v>
      </ns0:c>
      <ns0:c r="H49" s="2"/>
      <ns0:c r="I49" s="2" t="s">
        <ns0:v>2193</ns0:v>
      </ns0:c>
      <ns0:c r="J49" s="2" t="s">
        <ns0:v>2194</ns0:v>
      </ns0:c>
      <ns0:c r="K49" s="2" t="s">
        <ns0:v>2195</ns0:v>
      </ns0:c>
      <ns0:c r="L49" s="2" t="s">
        <ns0:v>2196</ns0:v>
      </ns0:c>
      <ns0:c r="M49" s="5" t="s">
        <ns0:v>277</ns0:v>
      </ns0:c>
      <ns0:c r="N49" s="7" t="s">
        <ns0:v>278</ns0:v>
      </ns0:c>
      <ns0:c r="O49" s="7" t="s">
        <ns0:v>280</ns0:v>
      </ns0:c>
      <ns0:c r="P49" s="7" t="s">
        <ns0:v>2036</ns0:v>
      </ns0:c>
      <ns0:c r="Q49" s="7" t="s">
        <ns0:v>2037</ns0:v>
      </ns0:c>
      <ns0:c r="R49" s="7" t="s">
        <ns0:v>1845</ns0:v>
      </ns0:c>
      <ns0:c r="S49" s="73" t="str">
        <ns0:v>魔獣討伐×正体隠し×TS変身×闇属性×優等生を演じる男子高校生</ns0:v>
      </ns0:c>
      <ns0:c r="T49" s="72" t="str">
        <ns0:v>普段は目立たない優等生を演じる。本来の性格は未確認。</ns0:v>
      </ns0:c>
      <ns0:c r="U49" s="72" t="str">
        <ns0:v>協会側・他の魔法少女の性格は未確認。</ns0:v>
      </ns0:c>
      <ns0:c r="V49" s="72" t="str">
        <ns0:v>女性のみという常識の外にいる存在が、日常の顔と活動の顔を使い分ける。</ns0:v>
      </ns0:c>
      <ns0:c r="W49" s="72" t="str">
        <ns0:v>秘密を共有する面白さと正体が露見する緊張。</ns0:v>
      </ns0:c>
      <ns0:c r="X49" s="72" t="str">
        <ns0:v>二重生活はタグに明記。個別の関係変化は未確認。</ns0:v>
      </ns0:c>
      <ns0:c r="Y49" s="74" t="str">
        <ns0:v>未登録・男子・演じる優等生は紹介文。闇属性を邪悪な性格とはしない。</ns0:v>
      </ns0:c>
    </ns0:row>
    <ns0:row r="50" ht="64.05000305175781" customHeight="1">
      <ns0:c r="A50" s="2" t="s">
        <ns0:v>17</ns0:v>
      </ns0:c>
      <ns0:c r="B50" s="4">
        <ns0:v>45</ns0:v>
      </ns0:c>
      <ns0:c r="C50" s="2" t="s">
        <ns0:v>281</ns0:v>
      </ns0:c>
      <ns0:c r="D50" s="6" t="s">
        <ns0:v>2063</ns0:v>
      </ns0:c>
      <ns0:c r="E50" s="6"/>
      <ns0:c r="F50" s="6"/>
      <ns0:c r="G50" s="2" t="s">
        <ns0:v>2040</ns0:v>
      </ns0:c>
      <ns0:c r="H50" s="2"/>
      <ns0:c r="I50" s="2" t="s">
        <ns0:v>2197</ns0:v>
      </ns0:c>
      <ns0:c r="J50" s="2" t="s">
        <ns0:v>2198</ns0:v>
      </ns0:c>
      <ns0:c r="K50" s="2" t="s">
        <ns0:v>2199</ns0:v>
      </ns0:c>
      <ns0:c r="L50" s="2" t="s">
        <ns0:v>2196</ns0:v>
      </ns0:c>
      <ns0:c r="M50" s="5" t="s">
        <ns0:v>283</ns0:v>
      </ns0:c>
      <ns0:c r="N50" s="7" t="s">
        <ns0:v>284</ns0:v>
      </ns0:c>
      <ns0:c r="O50" s="7" t="s">
        <ns0:v>286</ns0:v>
      </ns0:c>
      <ns0:c r="P50" s="7" t="s">
        <ns0:v>2036</ns0:v>
      </ns0:c>
      <ns0:c r="Q50" s="7" t="s">
        <ns0:v>2037</ns0:v>
      </ns0:c>
      <ns0:c r="R50" s="7" t="s">
        <ns0:v>1837</ns0:v>
      </ns0:c>
      <ns0:c r="S50" s="70" t="str">
        <ns0:v>冒険者の仕事×日銭×静かな生活×無茶を避ける主人公</ns0:v>
      </ns0:c>
      <ns0:c r="T50" s="69" t="str">
        <ns0:v>無茶をせず静かに生きる方針が示される。</ns0:v>
      </ns0:c>
      <ns0:c r="U50" s="69" t="str">
        <ns0:v>主要な相手役の性格は未確認。</ns0:v>
      </ns0:c>
      <ns0:c r="V50" s="69" t="str">
        <ns0:v>冒険の価値を名声や大勝利より、暮らしを維持する小さな収入へ置く。</ns0:v>
      </ns0:c>
      <ns0:c r="W50" s="69" t="str">
        <ns0:v>身の丈の稼業への親近感。</ns0:v>
      </ns0:c>
      <ns0:c r="X50" s="69" t="str">
        <ns0:v>紹介文が短く、独自の捻りや反復の詳細は未確認。</ns0:v>
      </ns0:c>
      <ns0:c r="Y50" s="71" t="str">
        <ns0:v>静か・無茶をしないは題名とキャッチ。本文の裏付けは未確認。</ns0:v>
      </ns0:c>
    </ns0:row>
    <ns0:row r="51" ht="64.05000305175781" customHeight="1">
      <ns0:c r="A51" s="2" t="s">
        <ns0:v>17</ns0:v>
      </ns0:c>
      <ns0:c r="B51" s="4">
        <ns0:v>46</ns0:v>
      </ns0:c>
      <ns0:c r="C51" s="2" t="s">
        <ns0:v>287</ns0:v>
      </ns0:c>
      <ns0:c r="D51" s="6" t="s">
        <ns0:v>2063</ns0:v>
      </ns0:c>
      <ns0:c r="E51" s="6" t="s">
        <ns0:v>2073</ns0:v>
      </ns0:c>
      <ns0:c r="F51" s="6" t="s">
        <ns0:v>2113</ns0:v>
      </ns0:c>
      <ns0:c r="G51" s="2" t="s">
        <ns0:v>2040</ns0:v>
      </ns0:c>
      <ns0:c r="H51" s="2"/>
      <ns0:c r="I51" s="2" t="s">
        <ns0:v>2200</ns0:v>
      </ns0:c>
      <ns0:c r="J51" s="2" t="s">
        <ns0:v>2201</ns0:v>
      </ns0:c>
      <ns0:c r="K51" s="2" t="s">
        <ns0:v>2202</ns0:v>
      </ns0:c>
      <ns0:c r="L51" s="2" t="s">
        <ns0:v>2035</ns0:v>
      </ns0:c>
      <ns0:c r="M51" s="5" t="s">
        <ns0:v>289</ns0:v>
      </ns0:c>
      <ns0:c r="N51" s="7" t="s">
        <ns0:v>290</ns0:v>
      </ns0:c>
      <ns0:c r="O51" s="7" t="s">
        <ns0:v>292</ns0:v>
      </ns0:c>
      <ns0:c r="P51" s="7" t="s">
        <ns0:v>2036</ns0:v>
      </ns0:c>
      <ns0:c r="Q51" s="7" t="s">
        <ns0:v>2037</ns0:v>
      </ns0:c>
      <ns0:c r="R51" s="7" t="s">
        <ns0:v>1887</ns0:v>
      </ns0:c>
      <ns0:c r="S51" s="73" t="str">
        <ns0:v>青春やり直し×制裁×親孝行×未来視×強かな大人の内面×事情を察する母</ns0:v>
      </ns0:c>
      <ns0:c r="T51" s="72" t="str">
        <ns0:v>人生経験を用いて冷静に制裁し、青春を楽しみたい。</ns0:v>
      </ns0:c>
      <ns0:c r="U51" s="72" t="str">
        <ns0:v>母は入れ替わりに気づき、最期に生き方を肯定する。</ns0:v>
      </ns0:c>
      <ns0:c r="V51" s="72" t="str">
        <ns0:v>少年の立場に大人の対処力を持ち込み、借りた人生への責任も果たす。</ns0:v>
      </ns0:c>
      <ns0:c r="W51" s="72" t="str">
        <ns0:v>理不尽への対処と、肯定されて青春へ進む解放感。</ns0:v>
      </ns0:c>
      <ns0:c r="X51" s="72" t="str">
        <ns0:v>親孝行・制裁を経て青春へ移ると明記。</ns0:v>
      </ns0:c>
      <ns0:c r="Y51" s="74" t="str">
        <ns0:v>紹介文の制裁方針と母の理解が根拠。</ns0:v>
      </ns0:c>
    </ns0:row>
    <ns0:row r="52" ht="67.95" customHeight="1">
      <ns0:c r="A52" s="2" t="s">
        <ns0:v>17</ns0:v>
      </ns0:c>
      <ns0:c r="B52" s="4">
        <ns0:v>47</ns0:v>
      </ns0:c>
      <ns0:c r="C52" s="2" t="s">
        <ns0:v>293</ns0:v>
      </ns0:c>
      <ns0:c r="D52" s="6" t="s">
        <ns0:v>2063</ns0:v>
      </ns0:c>
      <ns0:c r="E52" s="6" t="s">
        <ns0:v>2050</ns0:v>
      </ns0:c>
      <ns0:c r="F52" s="6"/>
      <ns0:c r="G52" s="2" t="s">
        <ns0:v>2040</ns0:v>
      </ns0:c>
      <ns0:c r="H52" s="2"/>
      <ns0:c r="I52" s="2" t="s">
        <ns0:v>2203</ns0:v>
      </ns0:c>
      <ns0:c r="J52" s="2" t="s">
        <ns0:v>2204</ns0:v>
      </ns0:c>
      <ns0:c r="K52" s="2" t="s">
        <ns0:v>2205</ns0:v>
      </ns0:c>
      <ns0:c r="L52" s="2" t="s">
        <ns0:v>2173</ns0:v>
      </ns0:c>
      <ns0:c r="M52" s="5" t="s">
        <ns0:v>295</ns0:v>
      </ns0:c>
      <ns0:c r="N52" s="7" t="s">
        <ns0:v>296</ns0:v>
      </ns0:c>
      <ns0:c r="O52" s="7" t="s">
        <ns0:v>298</ns0:v>
      </ns0:c>
      <ns0:c r="P52" s="7" t="s">
        <ns0:v>2036</ns0:v>
      </ns0:c>
      <ns0:c r="Q52" s="7" t="s">
        <ns0:v>2037</ns0:v>
      </ns0:c>
      <ns0:c r="R52" s="7" t="s">
        <ns0:v>1853</ns0:v>
      </ns0:c>
      <ns0:c r="S52" s="70" t="str">
        <ns0:v>配信×救助×古代魔法×正体探し×静かに読書したい賢者</ns0:v>
      </ns0:c>
      <ns0:c r="T52" s="69" t="str">
        <ns0:v>本を守り、静かな読書生活を望む。</ns0:v>
      </ns0:c>
      <ns0:c r="U52" s="69" t="str">
        <ns0:v>救助された配信者の性格は未確認。</ns0:v>
      </ns0:c>
      <ns0:c r="V52" s="69" t="str">
        <ns0:v>何気ない親切で使った魔法が、本人の静かな居場所を世界の関心事にする。</ns0:v>
      </ns0:c>
      <ns0:c r="W52" s="69" t="str">
        <ns0:v>失われた知識への驚きと本人の平静さの落差。</ns0:v>
      </ns0:c>
      <ns0:c r="X52" s="69" t="str">
        <ns0:v>政府・探索者・研究者へ捜索が広がる。</ns0:v>
      </ns0:c>
      <ns0:c r="Y52" s="71" t="str">
        <ns0:v>読書願望と救助行動が根拠。孤居をコミュ障と同一視しない。</ns0:v>
      </ns0:c>
    </ns0:row>
    <ns0:row r="53" ht="64.05000305175781" customHeight="1">
      <ns0:c r="A53" s="2" t="s">
        <ns0:v>17</ns0:v>
      </ns0:c>
      <ns0:c r="B53" s="4">
        <ns0:v>48</ns0:v>
      </ns0:c>
      <ns0:c r="C53" s="2" t="s">
        <ns0:v>299</ns0:v>
      </ns0:c>
      <ns0:c r="D53" s="6" t="s">
        <ns0:v>2113</ns0:v>
      </ns0:c>
      <ns0:c r="E53" s="6" t="s">
        <ns0:v>2044</ns0:v>
      </ns0:c>
      <ns0:c r="F53" s="6" t="s">
        <ns0:v>2030</ns0:v>
      </ns0:c>
      <ns0:c r="G53" s="2" t="s">
        <ns0:v>2040</ns0:v>
      </ns0:c>
      <ns0:c r="H53" s="2"/>
      <ns0:c r="I53" s="2" t="s">
        <ns0:v>2206</ns0:v>
      </ns0:c>
      <ns0:c r="J53" s="2" t="s">
        <ns0:v>2207</ns0:v>
      </ns0:c>
      <ns0:c r="K53" s="2" t="s">
        <ns0:v>2208</ns0:v>
      </ns0:c>
      <ns0:c r="L53" s="2" t="s">
        <ns0:v>2035</ns0:v>
      </ns0:c>
      <ns0:c r="M53" s="5" t="s">
        <ns0:v>301</ns0:v>
      </ns0:c>
      <ns0:c r="N53" s="7" t="s">
        <ns0:v>302</ns0:v>
      </ns0:c>
      <ns0:c r="O53" s="7" t="s">
        <ns0:v>304</ns0:v>
      </ns0:c>
      <ns0:c r="P53" s="7" t="s">
        <ns0:v>2036</ns0:v>
      </ns0:c>
      <ns0:c r="Q53" s="7" t="s">
        <ns0:v>2037</ns0:v>
      </ns0:c>
      <ns0:c r="R53" s="7" t="s">
        <ns0:v>1830</ns0:v>
      </ns0:c>
      <ns0:c r="S53" s="73" t="str">
        <ns0:v>家族再建×探索配信×無双×治療費×名声より家族を優先する元勇者</ns0:v>
      </ns0:c>
      <ns0:c r="T53" s="72" t="str">
        <ns0:v>世間の評価より妹の治療と日常を重視する。</ns0:v>
      </ns0:c>
      <ns0:c r="U53" s="72" t="str">
        <ns0:v>母は家計のため働き詰め。妹の性格は未確認。</ns0:v>
      </ns0:c>
      <ns0:c r="V53" s="72" t="str">
        <ns0:v>国家級の力の評価と、妹への小さな買い物という本人の喜びがずれる。</ns0:v>
      </ns0:c>
      <ns0:c r="W53" s="72" t="str">
        <ns0:v>強さが家族に還元される安心と兄への愛着。</ns0:v>
      </ns0:c>
      <ns0:c r="X53" s="72" t="str">
        <ns0:v>家族の生活再建を予告。治療後の変奏は未確認。</ns0:v>
      </ns0:c>
      <ns0:c r="Y53" s="74" t="str">
        <ns0:v>薬代・プリン・家族を守る決意が根拠。</ns0:v>
      </ns0:c>
    </ns0:row>
    <ns0:row r="54" ht="67.95" customHeight="1">
      <ns0:c r="A54" s="2" t="s">
        <ns0:v>17</ns0:v>
      </ns0:c>
      <ns0:c r="B54" s="4">
        <ns0:v>49</ns0:v>
      </ns0:c>
      <ns0:c r="C54" s="2" t="s">
        <ns0:v>305</ns0:v>
      </ns0:c>
      <ns0:c r="D54" s="6" t="s">
        <ns0:v>2029</ns0:v>
      </ns0:c>
      <ns0:c r="E54" s="6" t="s">
        <ns0:v>2050</ns0:v>
      </ns0:c>
      <ns0:c r="F54" s="6"/>
      <ns0:c r="G54" s="9" t="s">
        <ns0:v>2059</ns0:v>
      </ns0:c>
      <ns0:c r="H54" s="9" t="s">
        <ns0:v>2029</ns0:v>
      </ns0:c>
      <ns0:c r="I54" s="2" t="s">
        <ns0:v>2209</ns0:v>
      </ns0:c>
      <ns0:c r="J54" s="2" t="s">
        <ns0:v>2210</ns0:v>
      </ns0:c>
      <ns0:c r="K54" s="2" t="s">
        <ns0:v>2211</ns0:v>
      </ns0:c>
      <ns0:c r="L54" s="2" t="s">
        <ns0:v>2035</ns0:v>
      </ns0:c>
      <ns0:c r="M54" s="5" t="s">
        <ns0:v>306</ns0:v>
      </ns0:c>
      <ns0:c r="N54" s="7" t="s">
        <ns0:v>307</ns0:v>
      </ns0:c>
      <ns0:c r="O54" s="7" t="s">
        <ns0:v>309</ns0:v>
      </ns0:c>
      <ns0:c r="P54" s="7" t="s">
        <ns0:v>2036</ns0:v>
      </ns0:c>
      <ns0:c r="Q54" s="7" t="s">
        <ns0:v>2037</ns0:v>
      </ns0:c>
      <ns0:c r="R54" s="7" t="s">
        <ns0:v>1843</ns0:v>
      </ns0:c>
      <ns0:c r="S54" s="70" t="str">
        <ns0:v>配信×救助×無双×正体隠し×羞恥心の強い中二病主人公×独占欲の強い妹・幼馴染</ns0:v>
      </ns0:c>
      <ns0:c r="T54" s="69" t="str">
        <ns0:v>格好つけを楽しむが、身内に見られることを恐れる。</ns0:v>
      </ns0:c>
      <ns0:c r="U54" s="69" t="str">
        <ns0:v>妹と幼馴染は主人公を独占したがり、新参女性を嫌う。</ns0:v>
      </ns0:c>
      <ns0:c r="V54" s="69" t="str">
        <ns0:v>本人は失望を恐れて隠す一方、身内は既に好意を持ち、人気化を脅威と感じる。</ns0:v>
      </ns0:c>
      <ns0:c r="W54" s="69" t="str">
        <ns0:v>秘密を巡る認識差と独占欲を伴う好意。</ns0:v>
      </ns0:c>
      <ns0:c r="X54" s="69" t="str">
        <ns0:v>知名度の上昇が秘密と身内の感情を揺らす。</ns0:v>
      </ns0:c>
      <ns0:c r="Y54" s="71" t="str">
        <ns0:v>二人の発言に独占性あり。ヤンデレはタグでも確認。</ns0:v>
      </ns0:c>
    </ns0:row>
    <ns0:row r="55" ht="64.05000305175781" customHeight="1">
      <ns0:c r="A55" s="2" t="s">
        <ns0:v>17</ns0:v>
      </ns0:c>
      <ns0:c r="B55" s="4">
        <ns0:v>50</ns0:v>
      </ns0:c>
      <ns0:c r="C55" s="2" t="s">
        <ns0:v>310</ns0:v>
      </ns0:c>
      <ns0:c r="D55" s="6" t="s">
        <ns0:v>2044</ns0:v>
      </ns0:c>
      <ns0:c r="E55" s="6" t="s">
        <ns0:v>2058</ns0:v>
      </ns0:c>
      <ns0:c r="F55" s="6"/>
      <ns0:c r="G55" s="9" t="s">
        <ns0:v>2031</ns0:v>
      </ns0:c>
      <ns0:c r="H55" s="9" t="s">
        <ns0:v>2058</ns0:v>
      </ns0:c>
      <ns0:c r="I55" s="2" t="s">
        <ns0:v>2212</ns0:v>
      </ns0:c>
      <ns0:c r="J55" s="2" t="s">
        <ns0:v>2213</ns0:v>
      </ns0:c>
      <ns0:c r="K55" s="2" t="s">
        <ns0:v>2214</ns0:v>
      </ns0:c>
      <ns0:c r="L55" s="2" t="s">
        <ns0:v>2035</ns0:v>
      </ns0:c>
      <ns0:c r="M55" s="5" t="s">
        <ns0:v>312</ns0:v>
      </ns0:c>
      <ns0:c r="N55" s="7" t="s">
        <ns0:v>313</ns0:v>
      </ns0:c>
      <ns0:c r="O55" s="7" t="s">
        <ns0:v>315</ns0:v>
      </ns0:c>
      <ns0:c r="P55" s="7" t="s">
        <ns0:v>2036</ns0:v>
      </ns0:c>
      <ns0:c r="Q55" s="7" t="s">
        <ns0:v>2037</ns0:v>
      </ns0:c>
      <ns0:c r="R55" s="7" t="s">
        <ns0:v>1864</ns0:v>
      </ns0:c>
      <ns0:c r="S55" s="73" t="str">
        <ns0:v>救済×魔法少女×TS変身×生活費の期限×子供に戦わせたくない中年男性</ns0:v>
      </ns0:c>
      <ns0:c r="T55" s="72" t="str">
        <ns0:v>変身に気後れしても、子供だけに負担させるのを嫌う。</ns0:v>
      </ns0:c>
      <ns0:c r="U55" s="72" t="str">
        <ns0:v>幼い魔法少女たちの個別性格は未確認。</ns0:v>
      </ns0:c>
      <ns0:c r="V55" s="72" t="str">
        <ns0:v>少女の姿の大人が保護者として戦う善意に、貯金切れという生活の限界がかかる。</ns0:v>
      </ns0:c>
      <ns0:c r="W55" s="72" t="str">
        <ns0:v>大人の責任感への信頼と生活者の可笑しさ。</ns0:v>
      </ns0:c>
      <ns0:c r="X55" s="72" t="str">
        <ns0:v>貯金が尽きる前の決着という期限を明記。</ns0:v>
      </ns0:c>
      <ns0:c r="Y55" s="74" t="str">
        <ns0:v>退職金・昼の活動への困惑・少女の解放が根拠。</ns0:v>
      </ns0:c>
    </ns0:row>
    <ns0:row r="56" ht="82.05000305175781" customHeight="1">
      <ns0:c r="A56" s="2" t="s">
        <ns0:v>17</ns0:v>
      </ns0:c>
      <ns0:c r="B56" s="4">
        <ns0:v>51</ns0:v>
      </ns0:c>
      <ns0:c r="C56" s="2" t="s">
        <ns0:v>316</ns0:v>
      </ns0:c>
      <ns0:c r="D56" s="6" t="s">
        <ns0:v>2044</ns0:v>
      </ns0:c>
      <ns0:c r="E56" s="6" t="s">
        <ns0:v>2049</ns0:v>
      </ns0:c>
      <ns0:c r="F56" s="6" t="s">
        <ns0:v>2030</ns0:v>
      </ns0:c>
      <ns0:c r="G56" s="2" t="s">
        <ns0:v>2040</ns0:v>
      </ns0:c>
      <ns0:c r="H56" s="2"/>
      <ns0:c r="I56" s="2" t="s">
        <ns0:v>2215</ns0:v>
      </ns0:c>
      <ns0:c r="J56" s="2" t="s">
        <ns0:v>2216</ns0:v>
      </ns0:c>
      <ns0:c r="K56" s="2" t="s">
        <ns0:v>2217</ns0:v>
      </ns0:c>
      <ns0:c r="L56" s="2" t="s">
        <ns0:v>2035</ns0:v>
      </ns0:c>
      <ns0:c r="M56" s="5" t="s">
        <ns0:v>318</ns0:v>
      </ns0:c>
      <ns0:c r="N56" s="7" t="s">
        <ns0:v>319</ns0:v>
      </ns0:c>
      <ns0:c r="O56" s="7" t="s">
        <ns0:v>321</ns0:v>
      </ns0:c>
      <ns0:c r="P56" s="7" t="s">
        <ns0:v>2036</ns0:v>
      </ns0:c>
      <ns0:c r="Q56" s="7" t="s">
        <ns0:v>2037</ns0:v>
      </ns0:c>
      <ns0:c r="R56" s="7" t="s">
        <ns0:v>1847</ns0:v>
      </ns0:c>
      <ns0:c r="S56" s="70" t="str">
        <ns0:v>攻略×技能の再評価×装備連携×合理的な理屈屋×打算的な幼馴染×冷遇された協力者</ns0:v>
      </ns0:c>
      <ns0:c r="T56" s="69" t="str">
        <ns0:v>冷静に計算式を分析し、嘲笑に屈しない。</ns0:v>
      </ns0:c>
      <ns0:c r="U56" s="69" t="str">
        <ns0:v>幼馴染は損得で離れる。錬金術の協力者の性格は未確認。</ns0:v>
      </ns0:c>
      <ns0:c r="V56" s="69" t="str">
        <ns0:v>皆が単体で低評価した能力や道具を、組み合わせの理屈で高価値に変える。</ns0:v>
      </ns0:c>
      <ns0:c r="W56" s="69" t="str">
        <ns0:v>理解で序列を覆す納得と協力技能の再評価。</ns0:v>
      </ns0:c>
      <ns0:c r="X56" s="69" t="str">
        <ns0:v>撃破だけでなく素材価値でも優位になると予告。</ns0:v>
      </ns0:c>
      <ns0:c r="Y56" s="71" t="str">
        <ns0:v>合理主義は紹介文に明記。協力者を従順なヒロインとは補完しない。</ns0:v>
      </ns0:c>
    </ns0:row>
    <ns0:row r="57" ht="64.05000305175781" customHeight="1">
      <ns0:c r="A57" s="2" t="s">
        <ns0:v>17</ns0:v>
      </ns0:c>
      <ns0:c r="B57" s="4">
        <ns0:v>52</ns0:v>
      </ns0:c>
      <ns0:c r="C57" s="2" t="s">
        <ns0:v>322</ns0:v>
      </ns0:c>
      <ns0:c r="D57" s="6" t="s">
        <ns0:v>2028</ns0:v>
      </ns0:c>
      <ns0:c r="E57" s="6" t="s">
        <ns0:v>2029</ns0:v>
      </ns0:c>
      <ns0:c r="F57" s="6" t="s">
        <ns0:v>2050</ns0:v>
      </ns0:c>
      <ns0:c r="G57" s="9" t="s">
        <ns0:v>2031</ns0:v>
      </ns0:c>
      <ns0:c r="H57" s="9" t="s">
        <ns0:v>2029</ns0:v>
      </ns0:c>
      <ns0:c r="I57" s="2" t="s">
        <ns0:v>2218</ns0:v>
      </ns0:c>
      <ns0:c r="J57" s="2" t="s">
        <ns0:v>2219</ns0:v>
      </ns0:c>
      <ns0:c r="K57" s="2" t="s">
        <ns0:v>2220</ns0:v>
      </ns0:c>
      <ns0:c r="L57" s="2" t="s">
        <ns0:v>2035</ns0:v>
      </ns0:c>
      <ns0:c r="M57" s="5" t="s">
        <ns0:v>324</ns0:v>
      </ns0:c>
      <ns0:c r="N57" s="7" t="s">
        <ns0:v>325</ns0:v>
      </ns0:c>
      <ns0:c r="O57" s="7" t="s">
        <ns0:v>327</ns0:v>
      </ns0:c>
      <ns0:c r="P57" s="7" t="s">
        <ns0:v>2036</ns0:v>
      </ns0:c>
      <ns0:c r="Q57" s="7" t="s">
        <ns0:v>2037</ns0:v>
      </ns0:c>
      <ns0:c r="R57" s="7" t="s">
        <ns0:v>1879</ns0:v>
      </ns0:c>
      <ns0:c r="S57" s="73" t="str">
        <ns0:v>指導×配信視聴×異世界知識×無双×善意で口を出す厄介な熟練者</ns0:v>
      </ns0:c>
      <ns0:c r="T57" s="72" t="str">
        <ns0:v>助言を親切と考え、投げ銭までして知識を広める。</ns0:v>
      </ns0:c>
      <ns0:c r="U57" s="72" t="str">
        <ns0:v>配信者・視聴者は口出しを嫌う。組織は情報価値に注目。</ns0:v>
      </ns0:c>
      <ns0:c r="V57" s="72" t="str">
        <ns0:v>態度は迷惑でも助言は本当に有用なので、拒絶と頼りたさが同居する。</ns0:v>
      </ns0:c>
      <ns0:c r="W57" s="72" t="str">
        <ns0:v>嫌われる振る舞いと正しさのねじれ、実力確認。</ns0:v>
      </ns0:c>
      <ns0:c r="X57" s="72" t="str">
        <ns0:v>コメントだけでなく現場救助と社会の調査へ展開。</ns0:v>
      </ns0:c>
      <ns0:c r="Y57" s="74" t="str">
        <ns0:v>本人の善意と周囲の不快感を紹介文で確認。</ns0:v>
      </ns0:c>
    </ns0:row>
    <ns0:row r="58" ht="82.05000305175781" customHeight="1">
      <ns0:c r="A58" s="2" t="s">
        <ns0:v>17</ns0:v>
      </ns0:c>
      <ns0:c r="B58" s="4">
        <ns0:v>53</ns0:v>
      </ns0:c>
      <ns0:c r="C58" s="2" t="s">
        <ns0:v>328</ns0:v>
      </ns0:c>
      <ns0:c r="D58" s="6" t="s">
        <ns0:v>2082</ns0:v>
      </ns0:c>
      <ns0:c r="E58" s="6" t="s">
        <ns0:v>2151</ns0:v>
      </ns0:c>
      <ns0:c r="F58" s="6" t="s">
        <ns0:v>2063</ns0:v>
      </ns0:c>
      <ns0:c r="G58" s="2" t="s">
        <ns0:v>2040</ns0:v>
      </ns0:c>
      <ns0:c r="H58" s="2"/>
      <ns0:c r="I58" s="2" t="s">
        <ns0:v>2221</ns0:v>
      </ns0:c>
      <ns0:c r="J58" s="2" t="s">
        <ns0:v>2222</ns0:v>
      </ns0:c>
      <ns0:c r="K58" s="2" t="s">
        <ns0:v>2223</ns0:v>
      </ns0:c>
      <ns0:c r="L58" s="2" t="s">
        <ns0:v>2035</ns0:v>
      </ns0:c>
      <ns0:c r="M58" s="5" t="s">
        <ns0:v>330</ns0:v>
      </ns0:c>
      <ns0:c r="N58" s="7" t="s">
        <ns0:v>331</ns0:v>
      </ns0:c>
      <ns0:c r="O58" s="7" t="s">
        <ns0:v>333</ns0:v>
      </ns0:c>
      <ns0:c r="P58" s="7" t="s">
        <ns0:v>2036</ns0:v>
      </ns0:c>
      <ns0:c r="Q58" s="7" t="s">
        <ns0:v>2037</ns0:v>
      </ns0:c>
      <ns0:c r="R58" s="7" t="s">
        <ns0:v>1866</ns0:v>
      </ns0:c>
      <ns0:c r="S58" s="70" t="str">
        <ns0:v>料理×配信事故×追放後の再評価×無自覚の料理人×餌付けされる最強魔狼×もふもふ</ns0:v>
      </ns0:c>
      <ns0:c r="T58" s="69" t="str">
        <ns0:v>料理の力に無自覚で、スローライフを楽しむ。</ns0:v>
      </ns0:c>
      <ns0:c r="U58" s="69" t="str">
        <ns0:v>魔狼王が食事で懐く。細かな性格は未確認。</ns0:v>
      </ns0:c>
      <ns0:c r="V58" s="69" t="str">
        <ns0:v>映えないと捨てられた仕事が、危険な強者を食事相手に変える見せ場になる。</ns0:v>
      </ns0:c>
      <ns0:c r="W58" s="69" t="str">
        <ns0:v>料理の有用性と強い獣との穏やかな交流。</ns0:v>
      </ns0:c>
      <ns0:c r="X58" s="69" t="str">
        <ns0:v>料理・共生は示されるが、追放決着後の変奏は未確認。</ns0:v>
      </ns0:c>
      <ns0:c r="Y58" s="71" t="str">
        <ns0:v>紹介文と題名の餌付けが根拠。魔狼に人間的な恋愛性格は補わない。</ns0:v>
      </ns0:c>
    </ns0:row>
    <ns0:row r="59" ht="64.05000305175781" customHeight="1">
      <ns0:c r="A59" s="2" t="s">
        <ns0:v>17</ns0:v>
      </ns0:c>
      <ns0:c r="B59" s="4">
        <ns0:v>54</ns0:v>
      </ns0:c>
      <ns0:c r="C59" s="2" t="s">
        <ns0:v>334</ns0:v>
      </ns0:c>
      <ns0:c r="D59" s="6" t="s">
        <ns0:v>2224</ns0:v>
      </ns0:c>
      <ns0:c r="E59" s="6" t="s">
        <ns0:v>2082</ns0:v>
      </ns0:c>
      <ns0:c r="F59" s="6" t="s">
        <ns0:v>2030</ns0:v>
      </ns0:c>
      <ns0:c r="G59" s="2" t="s">
        <ns0:v>2040</ns0:v>
      </ns0:c>
      <ns0:c r="H59" s="2"/>
      <ns0:c r="I59" s="2" t="s">
        <ns0:v>2225</ns0:v>
      </ns0:c>
      <ns0:c r="J59" s="2" t="s">
        <ns0:v>2226</ns0:v>
      </ns0:c>
      <ns0:c r="K59" s="2" t="s">
        <ns0:v>2227</ns0:v>
      </ns0:c>
      <ns0:c r="L59" s="2" t="s">
        <ns0:v>2035</ns0:v>
      </ns0:c>
      <ns0:c r="M59" s="5" t="s">
        <ns0:v>336</ns0:v>
      </ns0:c>
      <ns0:c r="N59" s="7" t="s">
        <ns0:v>337</ns0:v>
      </ns0:c>
      <ns0:c r="O59" s="7" t="s">
        <ns0:v>339</ns0:v>
      </ns0:c>
      <ns0:c r="P59" s="7" t="s">
        <ns0:v>2036</ns0:v>
      </ns0:c>
      <ns0:c r="Q59" s="7" t="s">
        <ns0:v>2037</ns0:v>
      </ns0:c>
      <ns0:c r="R59" s="7" t="s">
        <ns0:v>1871</ns0:v>
      </ns0:c>
      <ns0:c r="S59" s="73" t="str">
        <ns0:v>仲間支援×演奏・料理×配信×自分を足手まといと思う少年×離したがらない最強幼馴染</ns0:v>
      </ns0:c>
      <ns0:c r="T59" s="72" t="str">
        <ns0:v>申し訳なさから離れようとし、支援技能を身につける。</ns0:v>
      </ns0:c>
      <ns0:c r="U59" s="72" t="str">
        <ns0:v>幼馴染は離脱宣言に対して彼をリーダーにする。</ns0:v>
      </ns0:c>
      <ns0:c r="V59" s="72" t="str">
        <ns0:v>本人の低い自己評価と仲間の必要性が食い違い、世間はさらに大物と解釈する。</ns0:v>
      </ns0:c>
      <ns0:c r="W59" s="72" t="str">
        <ns0:v>支える仕事への愛着と三者の認識差。</ns0:v>
      </ns0:c>
      <ns0:c r="X59" s="72" t="str">
        <ns0:v>演奏・料理・リーダー評判へ価値の見られ方が広がる。</ns0:v>
      </ns0:c>
      <ns0:c r="Y59" s="74" t="str">
        <ns0:v>引き留め行動は確認。幼馴染をヤンデレとは断定しない。</ns0:v>
      </ns0:c>
    </ns0:row>
    <ns0:row r="60" ht="67.95" customHeight="1">
      <ns0:c r="A60" s="2" t="s">
        <ns0:v>17</ns0:v>
      </ns0:c>
      <ns0:c r="B60" s="4">
        <ns0:v>55</ns0:v>
      </ns0:c>
      <ns0:c r="C60" s="2" t="s">
        <ns0:v>340</ns0:v>
      </ns0:c>
      <ns0:c r="D60" s="6" t="s">
        <ns0:v>2029</ns0:v>
      </ns0:c>
      <ns0:c r="E60" s="6" t="s">
        <ns0:v>2044</ns0:v>
      </ns0:c>
      <ns0:c r="F60" s="6" t="s">
        <ns0:v>2030</ns0:v>
      </ns0:c>
      <ns0:c r="G60" s="9" t="s">
        <ns0:v>2059</ns0:v>
      </ns0:c>
      <ns0:c r="H60" s="9" t="s">
        <ns0:v>2029</ns0:v>
      </ns0:c>
      <ns0:c r="I60" s="2" t="s">
        <ns0:v>2228</ns0:v>
      </ns0:c>
      <ns0:c r="J60" s="2" t="s">
        <ns0:v>2229</ns0:v>
      </ns0:c>
      <ns0:c r="K60" s="2" t="s">
        <ns0:v>2230</ns0:v>
      </ns0:c>
      <ns0:c r="L60" s="2" t="s">
        <ns0:v>2035</ns0:v>
      </ns0:c>
      <ns0:c r="M60" s="5" t="s">
        <ns0:v>342</ns0:v>
      </ns0:c>
      <ns0:c r="N60" s="7" t="s">
        <ns0:v>343</ns0:v>
      </ns0:c>
      <ns0:c r="O60" s="7" t="s">
        <ns0:v>345</ns0:v>
      </ns0:c>
      <ns0:c r="P60" s="7" t="s">
        <ns0:v>2036</ns0:v>
      </ns0:c>
      <ns0:c r="Q60" s="7" t="s">
        <ns0:v>2037</ns0:v>
      </ns0:c>
      <ns0:c r="R60" s="7" t="s">
        <ns0:v>1806</ns0:v>
      </ns0:c>
      <ns0:c r="S60" s="70" t="str">
        <ns0:v>配信×危険行為の制止×無双×お嬢様への憧れ×怒ると荒い言葉が出る少女×迷惑配信者</ns0:v>
      </ns0:c>
      <ns0:c r="T60" s="69" t="str">
        <ns0:v>優雅でありたいが、危険行為には素の荒い口調で怒る。</ns0:v>
      </ns0:c>
      <ns0:c r="U60" s="69" t="str">
        <ns0:v>相手は注目のため危険な配信を行う。</ns0:v>
      </ns0:c>
      <ns0:c r="V60" s="69" t="str">
        <ns0:v>演じたい優雅さが崩れた瞬間こそ、正義感と強さが伝わる最大の見せ場になる。</ns0:v>
      </ns0:c>
      <ns0:c r="W60" s="69" t="str">
        <ns0:v>痛快な制止と理想・素顔の落差への愛着。</ns0:v>
      </ns0:c>
      <ns0:c r="X60" s="69" t="str">
        <ns0:v>規格外の活躍が配信外にも影響すると予告。</ns0:v>
      </ns0:c>
      <ns0:c r="Y60" s="71" t="str">
        <ns0:v>お嬢様言葉の崩れと制止を紹介文で確認。</ns0:v>
      </ns0:c>
    </ns0:row>
    <ns0:row r="61" ht="67.95" customHeight="1">
      <ns0:c r="A61" s="2" t="s">
        <ns0:v>17</ns0:v>
      </ns0:c>
      <ns0:c r="B61" s="4">
        <ns0:v>56</ns0:v>
      </ns0:c>
      <ns0:c r="C61" s="2" t="s">
        <ns0:v>346</ns0:v>
      </ns0:c>
      <ns0:c r="D61" s="6" t="s">
        <ns0:v>2050</ns0:v>
      </ns0:c>
      <ns0:c r="E61" s="6" t="s">
        <ns0:v>2063</ns0:v>
      </ns0:c>
      <ns0:c r="F61" s="6" t="s">
        <ns0:v>2044</ns0:v>
      </ns0:c>
      <ns0:c r="G61" s="2" t="s">
        <ns0:v>2040</ns0:v>
      </ns0:c>
      <ns0:c r="H61" s="2"/>
      <ns0:c r="I61" s="2" t="s">
        <ns0:v>2231</ns0:v>
      </ns0:c>
      <ns0:c r="J61" s="2" t="s">
        <ns0:v>2232</ns0:v>
      </ns0:c>
      <ns0:c r="K61" s="2" t="s">
        <ns0:v>2233</ns0:v>
      </ns0:c>
      <ns0:c r="L61" s="2" t="s">
        <ns0:v>2035</ns0:v>
      </ns0:c>
      <ns0:c r="M61" s="5" t="s">
        <ns0:v>348</ns0:v>
      </ns0:c>
      <ns0:c r="N61" s="7" t="s">
        <ns0:v>349</ns0:v>
      </ns0:c>
      <ns0:c r="O61" s="7" t="s">
        <ns0:v>351</ns0:v>
      </ns0:c>
      <ns0:c r="P61" s="7" t="s">
        <ns0:v>2036</ns0:v>
      </ns0:c>
      <ns0:c r="Q61" s="7" t="s">
        <ns0:v>2037</ns0:v>
      </ns0:c>
      <ns0:c r="R61" s="7" t="s">
        <ns0:v>1900</ns0:v>
      </ns0:c>
      <ns0:c r="S61" s="73" t="str">
        <ns0:v>救助×配信×TS無双×平穏志向の主人公×オタク仲間・ワンコ系後輩・過保護な教師</ns0:v>
      </ns0:c>
      <ns0:c r="T61" s="72" t="str">
        <ns0:v>瀕死でも精霊を救おうとし、目立たぬ生活を望む。</ns0:v>
      </ns0:c>
      <ns0:c r="U61" s="72" t="str">
        <ns0:v>回復術士はオタク、後輩はワンコ系、教師は過保護と明記。</ns0:v>
      </ns0:c>
      <ns0:c r="V61" s="72" t="str">
        <ns0:v>静かに暮らしたい救助者が、ネットの神格化と周囲の濃い関わりに囲まれる。</ns0:v>
      </ns0:c>
      <ns0:c r="W61" s="72" t="str">
        <ns0:v>頼もしさと平凡な願いの落差、周囲との親密さ。</ns0:v>
      </ns0:c>
      <ns0:c r="X61" s="72" t="str">
        <ns0:v>学園とダンジョンの両方で規格外さが露見。</ns0:v>
      </ns0:c>
      <ns0:c r="Y61" s="74" t="str">
        <ns0:v>人物傾向は紹介文の明記。氷の会長の内面は未確認。</ns0:v>
      </ns0:c>
    </ns0:row>
    <ns0:row r="62" ht="64.05000305175781" customHeight="1">
      <ns0:c r="A62" s="2" t="s">
        <ns0:v>17</ns0:v>
      </ns0:c>
      <ns0:c r="B62" s="4">
        <ns0:v>57</ns0:v>
      </ns0:c>
      <ns0:c r="C62" s="2" t="s">
        <ns0:v>352</ns0:v>
      </ns0:c>
      <ns0:c r="D62" s="6" t="s">
        <ns0:v>2044</ns0:v>
      </ns0:c>
      <ns0:c r="E62" s="6" t="s">
        <ns0:v>2050</ns0:v>
      </ns0:c>
      <ns0:c r="F62" s="6"/>
      <ns0:c r="G62" s="2" t="s">
        <ns0:v>2040</ns0:v>
      </ns0:c>
      <ns0:c r="H62" s="2"/>
      <ns0:c r="I62" s="2" t="s">
        <ns0:v>2234</ns0:v>
      </ns0:c>
      <ns0:c r="J62" s="2" t="s">
        <ns0:v>2235</ns0:v>
      </ns0:c>
      <ns0:c r="K62" s="2" t="s">
        <ns0:v>2236</ns0:v>
      </ns0:c>
      <ns0:c r="L62" s="2" t="s">
        <ns0:v>2035</ns0:v>
      </ns0:c>
      <ns0:c r="M62" s="5" t="s">
        <ns0:v>354</ns0:v>
      </ns0:c>
      <ns0:c r="N62" s="7" t="s">
        <ns0:v>355</ns0:v>
      </ns0:c>
      <ns0:c r="O62" s="7" t="s">
        <ns0:v>357</ns0:v>
      </ns0:c>
      <ns0:c r="P62" s="7" t="s">
        <ns0:v>2036</ns0:v>
      </ns0:c>
      <ns0:c r="Q62" s="7" t="s">
        <ns0:v>2037</ns0:v>
      </ns0:c>
      <ns0:c r="R62" s="7" t="s">
        <ns0:v>1860</ns0:v>
      </ns0:c>
      <ns0:c r="S62" s="70" t="str">
        <ns0:v>救助×世界危機×ゲーム技術の無双×世情に疎い引きこもり×常識のある女子高生</ns0:v>
      </ns0:c>
      <ns0:c r="T62" s="69" t="str">
        <ns0:v>世界危機を知らず、頼られた勢いで助ける。</ns0:v>
      </ns0:c>
      <ns0:c r="U62" s="69" t="str">
        <ns0:v>女子高生は危機を理解して助けを求める。</ns0:v>
      </ns0:c>
      <ns0:c r="V62" s="69" t="str">
        <ns0:v>危機を理解しない側に解決力があり、常識のある側がその力に頼る。</ns0:v>
      </ns0:c>
      <ns0:c r="W62" s="69" t="str">
        <ns0:v>認識差の笑いとゲーム経験が現実で役立つ快感。</ns0:v>
      </ns0:c>
      <ns0:c r="X62" s="69" t="str">
        <ns0:v>二人の冒険を予告。関係変化の細部は未確認。</ns0:v>
      </ns0:c>
      <ns0:c r="Y62" s="71" t="str">
        <ns0:v>ゲームとの勘違いと女子高生の常識を紹介文で確認。</ns0:v>
      </ns0:c>
    </ns0:row>
    <ns0:row r="63" ht="64.05000305175781" customHeight="1">
      <ns0:c r="A63" s="2" t="s">
        <ns0:v>17</ns0:v>
      </ns0:c>
      <ns0:c r="B63" s="4">
        <ns0:v>58</ns0:v>
      </ns0:c>
      <ns0:c r="C63" s="2" t="s">
        <ns0:v>358</ns0:v>
      </ns0:c>
      <ns0:c r="D63" s="6" t="s">
        <ns0:v>2077</ns0:v>
      </ns0:c>
      <ns0:c r="E63" s="6" t="s">
        <ns0:v>2029</ns0:v>
      </ns0:c>
      <ns0:c r="F63" s="6"/>
      <ns0:c r="G63" s="9" t="s">
        <ns0:v>2059</ns0:v>
      </ns0:c>
      <ns0:c r="H63" s="9" t="s">
        <ns0:v>2134</ns0:v>
      </ns0:c>
      <ns0:c r="I63" s="2" t="s">
        <ns0:v>2237</ns0:v>
      </ns0:c>
      <ns0:c r="J63" s="2" t="s">
        <ns0:v>2238</ns0:v>
      </ns0:c>
      <ns0:c r="K63" s="2" t="s">
        <ns0:v>2239</ns0:v>
      </ns0:c>
      <ns0:c r="L63" s="2" t="s">
        <ns0:v>2035</ns0:v>
      </ns0:c>
      <ns0:c r="M63" s="5" t="s">
        <ns0:v>360</ns0:v>
      </ns0:c>
      <ns0:c r="N63" s="7" t="s">
        <ns0:v>361</ns0:v>
      </ns0:c>
      <ns0:c r="O63" s="7" t="s">
        <ns0:v>363</ns0:v>
      </ns0:c>
      <ns0:c r="P63" s="7" t="s">
        <ns0:v>2036</ns0:v>
      </ns0:c>
      <ns0:c r="Q63" s="7" t="s">
        <ns0:v>2037</ns0:v>
      </ns0:c>
      <ns0:c r="R63" s="7" t="s">
        <ns0:v>1859</ns0:v>
      </ns0:c>
      <ns0:c r="S63" s="73" t="str">
        <ns0:v>仕事×配信者支援×推し活×最強でも金欠の主人公×業務過多</ns0:v>
      </ns0:c>
      <ns0:c r="T63" s="72" t="str">
        <ns0:v>推しを応援して稼げる仕事に飛びつく。</ns0:v>
      </ns0:c>
      <ns0:c r="U63" s="72" t="str">
        <ns0:v>探索者ユニットの性格は未確認。</ns0:v>
      </ns0:c>
      <ns0:c r="V63" s="72" t="str">
        <ns0:v>戦闘には負けない強者が、金欠と裏方仕事の多さには苦労する。</ns0:v>
      </ns0:c>
      <ns0:c r="W63" s="72" t="str">
        <ns0:v>推しを支える喜びと強さで片づかない仕事の可笑しさ。</ns0:v>
      </ns0:c>
      <ns0:c r="X63" s="72" t="str">
        <ns0:v>就職後の業務過多を予告。支援の具体形は未確認。</ns0:v>
      </ns0:c>
      <ns0:c r="Y63" s="74" t="str">
        <ns0:v>金欠・推し活動機・過労の予告が根拠。</ns0:v>
      </ns0:c>
    </ns0:row>
    <ns0:row r="64" ht="64.05000305175781" customHeight="1">
      <ns0:c r="A64" s="2" t="s">
        <ns0:v>17</ns0:v>
      </ns0:c>
      <ns0:c r="B64" s="4">
        <ns0:v>59</ns0:v>
      </ns0:c>
      <ns0:c r="C64" s="2" t="s">
        <ns0:v>364</ns0:v>
      </ns0:c>
      <ns0:c r="D64" s="6" t="s">
        <ns0:v>2049</ns0:v>
      </ns0:c>
      <ns0:c r="E64" s="6" t="s">
        <ns0:v>2117</ns0:v>
      </ns0:c>
      <ns0:c r="F64" s="6" t="s">
        <ns0:v>2050</ns0:v>
      </ns0:c>
      <ns0:c r="G64" s="2" t="s">
        <ns0:v>2040</ns0:v>
      </ns0:c>
      <ns0:c r="H64" s="2"/>
      <ns0:c r="I64" s="2" t="s">
        <ns0:v>2240</ns0:v>
      </ns0:c>
      <ns0:c r="J64" s="2" t="s">
        <ns0:v>2241</ns0:v>
      </ns0:c>
      <ns0:c r="K64" s="2" t="s">
        <ns0:v>2242</ns0:v>
      </ns0:c>
      <ns0:c r="L64" s="2" t="s">
        <ns0:v>2035</ns0:v>
      </ns0:c>
      <ns0:c r="M64" s="5" t="s">
        <ns0:v>365</ns0:v>
      </ns0:c>
      <ns0:c r="N64" s="7" t="s">
        <ns0:v>366</ns0:v>
      </ns0:c>
      <ns0:c r="O64" s="7" t="s">
        <ns0:v>368</ns0:v>
      </ns0:c>
      <ns0:c r="P64" s="7" t="s">
        <ns0:v>2036</ns0:v>
      </ns0:c>
      <ns0:c r="Q64" s="7" t="s">
        <ns0:v>2037</ns0:v>
      </ns0:c>
      <ns0:c r="R64" s="7" t="s">
        <ns0:v>1849</ns0:v>
      </ns0:c>
      <ns0:c r="S64" s="70" t="str">
        <ns0:v>生活改善×カード能力×資源経営×治療×小さな改善から再投資する会社員</ns0:v>
      </ns0:c>
      <ns0:c r="T64" s="69" t="str">
        <ns0:v>日常の疲れを治し、知識を使って資源を増やす。</ns0:v>
      </ns0:c>
      <ns0:c r="U64" s="69" t="str">
        <ns0:v>主要な相手役の性格は未確認。</ns0:v>
      </ns0:c>
      <ns0:c r="V64" s="69" t="str">
        <ns0:v>一日一回の小さな便利さが、我慢して再投資することで奇跡の規模へ育つ。</ns0:v>
      </ns0:c>
      <ns0:c r="W64" s="69" t="str">
        <ns0:v>生活の快適さと資源循環を組み立てる納得。</ns0:v>
      </ns0:c>
      <ns0:c r="X64" s="69" t="str">
        <ns0:v>自己治療から商売・都市救済・次元探索へ拡大。</ns0:v>
      </ns0:c>
      <ns0:c r="Y64" s="71" t="str">
        <ns0:v>投資行動は確認。慎重・冷酷など恒常的な性格は未確認。</ns0:v>
      </ns0:c>
    </ns0:row>
    <ns0:row r="65" ht="64.05000305175781" customHeight="1">
      <ns0:c r="A65" s="2" t="s">
        <ns0:v>17</ns0:v>
      </ns0:c>
      <ns0:c r="B65" s="4">
        <ns0:v>60</ns0:v>
      </ns0:c>
      <ns0:c r="C65" s="2" t="s">
        <ns0:v>369</ns0:v>
      </ns0:c>
      <ns0:c r="D65" s="6" t="s">
        <ns0:v>2078</ns0:v>
      </ns0:c>
      <ns0:c r="E65" s="6" t="s">
        <ns0:v>2044</ns0:v>
      </ns0:c>
      <ns0:c r="F65" s="6"/>
      <ns0:c r="G65" s="2" t="s">
        <ns0:v>2040</ns0:v>
      </ns0:c>
      <ns0:c r="H65" s="2"/>
      <ns0:c r="I65" s="2" t="s">
        <ns0:v>2243</ns0:v>
      </ns0:c>
      <ns0:c r="J65" s="2" t="s">
        <ns0:v>2244</ns0:v>
      </ns0:c>
      <ns0:c r="K65" s="2" t="s">
        <ns0:v>2245</ns0:v>
      </ns0:c>
      <ns0:c r="L65" s="2" t="s">
        <ns0:v>2035</ns0:v>
      </ns0:c>
      <ns0:c r="M65" s="5" t="s">
        <ns0:v>371</ns0:v>
      </ns0:c>
      <ns0:c r="N65" s="7" t="s">
        <ns0:v>372</ns0:v>
      </ns0:c>
      <ns0:c r="O65" s="7" t="s">
        <ns0:v>374</ns0:v>
      </ns0:c>
      <ns0:c r="P65" s="7" t="s">
        <ns0:v>2036</ns0:v>
      </ns0:c>
      <ns0:c r="Q65" s="7" t="s">
        <ns0:v>2037</ns0:v>
      </ns0:c>
      <ns0:c r="R65" s="7" t="s">
        <ns0:v>1809</ns0:v>
      </ns0:c>
      <ns0:c r="S65" s="73" t="str">
        <ns0:v>修行×探索×数値成長×レベル上げ自体が好きな主人公×社会の争乱</ns0:v>
      </ns0:c>
      <ns0:c r="T65" s="72" t="str">
        <ns0:v>現実でのレベル上げに情熱を燃やし、準備を続ける。</ns0:v>
      </ns0:c>
      <ns0:c r="U65" s="72" t="str">
        <ns0:v>主要な相手役の性格は未確認。</ns0:v>
      </ns0:c>
      <ns0:c r="V65" s="72" t="str">
        <ns0:v>普通は目的の手段である数値成長が本人には目的で、社会はその力を放置しない。</ns0:v>
      </ns0:c>
      <ns0:c r="W65" s="72" t="str">
        <ns0:v>成長を積む快感と趣味の力が外で評価される驚き。</ns0:v>
      </ns0:c>
      <ns0:c r="X65" s="72" t="str">
        <ns0:v>効率化には準備が必要と明記。最初から裏技無双ではない。</ns0:v>
      </ns0:c>
      <ns0:c r="Y65" s="74" t="str">
        <ns0:v>作者の進行説明と主人公の動機が根拠。</ns0:v>
      </ns0:c>
    </ns0:row>
    <ns0:row r="66" ht="64.05000305175781" customHeight="1">
      <ns0:c r="A66" s="2" t="s">
        <ns0:v>17</ns0:v>
      </ns0:c>
      <ns0:c r="B66" s="4">
        <ns0:v>61</ns0:v>
      </ns0:c>
      <ns0:c r="C66" s="2" t="s">
        <ns0:v>375</ns0:v>
      </ns0:c>
      <ns0:c r="D66" s="6" t="s">
        <ns0:v>2224</ns0:v>
      </ns0:c>
      <ns0:c r="E66" s="6" t="s">
        <ns0:v>2029</ns0:v>
      </ns0:c>
      <ns0:c r="F66" s="6" t="s">
        <ns0:v>2063</ns0:v>
      </ns0:c>
      <ns0:c r="G66" s="9" t="s">
        <ns0:v>2031</ns0:v>
      </ns0:c>
      <ns0:c r="H66" s="9" t="s">
        <ns0:v>2029</ns0:v>
      </ns0:c>
      <ns0:c r="I66" s="2" t="s">
        <ns0:v>2246</ns0:v>
      </ns0:c>
      <ns0:c r="J66" s="2" t="s">
        <ns0:v>2247</ns0:v>
      </ns0:c>
      <ns0:c r="K66" s="2" t="s">
        <ns0:v>2248</ns0:v>
      </ns0:c>
      <ns0:c r="L66" s="2" t="s">
        <ns0:v>2035</ns0:v>
      </ns0:c>
      <ns0:c r="M66" s="5" t="s">
        <ns0:v>376</ns0:v>
      </ns0:c>
      <ns0:c r="N66" s="7" t="s">
        <ns0:v>377</ns0:v>
      </ns0:c>
      <ns0:c r="O66" s="7" t="s">
        <ns0:v>379</ns0:v>
      </ns0:c>
      <ns0:c r="P66" s="7" t="s">
        <ns0:v>2036</ns0:v>
      </ns0:c>
      <ns0:c r="Q66" s="7" t="s">
        <ns0:v>2037</ns0:v>
      </ns0:c>
      <ns0:c r="R66" s="7" t="s">
        <ns0:v>1888</ns0:v>
      </ns0:c>
      <ns0:c r="S66" s="70" t="str">
        <ns0:v>配信×創作・遊び×TS転生×多才×名声より楽しさを共有したい主人公</ns0:v>
      </ns0:c>
      <ns0:c r="T66" s="69" t="str">
        <ns0:v>勝敗や名声より、好きなことと視聴者の笑顔を望む。</ns0:v>
      </ns0:c>
      <ns0:c r="U66" s="69" t="str">
        <ns0:v>視聴者の個別性格は未確認。</ns0:v>
      </ns0:c>
      <ns0:c r="V66" s="69" t="str">
        <ns0:v>規格外の才能を競争より楽しさに使うため、成功が穏やかな日常の共有になる。</ns0:v>
      </ns0:c>
      <ns0:c r="W66" s="69" t="str">
        <ns0:v>自由に楽しむ解放感と才能が見つかる喜び。</ns0:v>
      </ns0:c>
      <ns0:c r="X66" s="69" t="str">
        <ns0:v>歌・制作・ゲームと活動分野、視聴者層が広がる。</ns0:v>
      </ns0:c>
      <ns0:c r="Y66" s="71" t="str">
        <ns0:v>楽しさ優先の方針は紹介文に明記。</ns0:v>
      </ns0:c>
    </ns0:row>
    <ns0:row r="67" ht="67.95" customHeight="1">
      <ns0:c r="A67" s="2" t="s">
        <ns0:v>17</ns0:v>
      </ns0:c>
      <ns0:c r="B67" s="4">
        <ns0:v>62</ns0:v>
      </ns0:c>
      <ns0:c r="C67" s="2" t="s">
        <ns0:v>380</ns0:v>
      </ns0:c>
      <ns0:c r="D67" s="6" t="s">
        <ns0:v>2050</ns0:v>
      </ns0:c>
      <ns0:c r="E67" s="6" t="s">
        <ns0:v>2102</ns0:v>
      </ns0:c>
      <ns0:c r="F67" s="6" t="s">
        <ns0:v>2044</ns0:v>
      </ns0:c>
      <ns0:c r="G67" s="2" t="s">
        <ns0:v>2040</ns0:v>
      </ns0:c>
      <ns0:c r="H67" s="2"/>
      <ns0:c r="I67" s="2" t="s">
        <ns0:v>2249</ns0:v>
      </ns0:c>
      <ns0:c r="J67" s="2" t="s">
        <ns0:v>2250</ns0:v>
      </ns0:c>
      <ns0:c r="K67" s="2" t="s">
        <ns0:v>2251</ns0:v>
      </ns0:c>
      <ns0:c r="L67" s="2" t="s">
        <ns0:v>2035</ns0:v>
      </ns0:c>
      <ns0:c r="M67" s="5" t="s">
        <ns0:v>382</ns0:v>
      </ns0:c>
      <ns0:c r="N67" s="7" t="s">
        <ns0:v>383</ns0:v>
      </ns0:c>
      <ns0:c r="O67" s="7" t="s">
        <ns0:v>385</ns0:v>
      </ns0:c>
      <ns0:c r="P67" s="7" t="s">
        <ns0:v>2036</ns0:v>
      </ns0:c>
      <ns0:c r="Q67" s="7" t="s">
        <ns0:v>2037</ns0:v>
      </ns0:c>
      <ns0:c r="R67" s="7" t="s">
        <ns0:v>1842</ns0:v>
      </ns0:c>
      <ns0:c r="S67" s="73" t="str">
        <ns0:v>救助×推し活×無自覚無双×掃除道具×酒好きの限界無職女性×救われた女性の重い愛</ns0:v>
      </ns0:c>
      <ns0:c r="T67" s="72" t="str">
        <ns0:v>酒と推しを愛し、払えない救助費の代わりに自分で助ける。</ns0:v>
      </ns0:c>
      <ns0:c r="U67" s="72" t="str">
        <ns0:v>救助された女性たちが重すぎる愛を向ける。</ns0:v>
      </ns0:c>
      <ns0:c r="V67" s="72" t="str">
        <ns0:v>生活では追い詰められた推す側が、救助で強さを示し、愛を向けられる中心へ移る。</ns0:v>
      </ns0:c>
      <ns0:c r="W67" s="72" t="str">
        <ns0:v>推しを救う達成と、救助のたびに増える濃い好意。</ns0:v>
      </ns0:c>
      <ns0:c r="X67" s="72" t="str">
        <ns0:v>救う人数と好意の関係が増えると明記。</ns0:v>
      </ns0:c>
      <ns0:c r="Y67" s="74" t="str">
        <ns0:v>重い愛は紹介文に明記。個々のヤンデレ行動は未確認。</ns0:v>
      </ns0:c>
    </ns0:row>
    <ns0:row r="68" ht="64.05000305175781" customHeight="1">
      <ns0:c r="A68" s="2" t="s">
        <ns0:v>17</ns0:v>
      </ns0:c>
      <ns0:c r="B68" s="4">
        <ns0:v>63</ns0:v>
      </ns0:c>
      <ns0:c r="C68" s="2" t="s">
        <ns0:v>386</ns0:v>
      </ns0:c>
      <ns0:c r="D68" s="6" t="s">
        <ns0:v>2077</ns0:v>
      </ns0:c>
      <ns0:c r="E68" s="6" t="s">
        <ns0:v>2030</ns0:v>
      </ns0:c>
      <ns0:c r="F68" s="6" t="s">
        <ns0:v>2252</ns0:v>
      </ns0:c>
      <ns0:c r="G68" s="9" t="s">
        <ns0:v>2059</ns0:v>
      </ns0:c>
      <ns0:c r="H68" s="9" t="s">
        <ns0:v>2077</ns0:v>
      </ns0:c>
      <ns0:c r="I68" s="2" t="s">
        <ns0:v>2253</ns0:v>
      </ns0:c>
      <ns0:c r="J68" s="2" t="s">
        <ns0:v>2254</ns0:v>
      </ns0:c>
      <ns0:c r="K68" s="2" t="s">
        <ns0:v>2255</ns0:v>
      </ns0:c>
      <ns0:c r="L68" s="2" t="s">
        <ns0:v>2035</ns0:v>
      </ns0:c>
      <ns0:c r="M68" s="5" t="s">
        <ns0:v>388</ns0:v>
      </ns0:c>
      <ns0:c r="N68" s="7" t="s">
        <ns0:v>389</ns0:v>
      </ns0:c>
      <ns0:c r="O68" s="7" t="s">
        <ns0:v>391</ns0:v>
      </ns0:c>
      <ns0:c r="P68" s="7" t="s">
        <ns0:v>2036</ns0:v>
      </ns0:c>
      <ns0:c r="Q68" s="7" t="s">
        <ns0:v>2037</ns0:v>
      </ns0:c>
      <ns0:c r="R68" s="7" t="s">
        <ns0:v>1811</ns0:v>
      </ns0:c>
      <ns0:c r="S68" s="70" t="str">
        <ns0:v>管理業×成り上がり×低収入の強制労働×家庭菜園を支えに耐える青年</ns0:v>
      </ns0:c>
      <ns0:c r="T68" s="69" t="str">
        <ns0:v>不本意な管理を続け、家庭菜園に心の支えを得る。</ns0:v>
      </ns0:c>
      <ns0:c r="U68" s="69" t="str">
        <ns0:v>詐欺の相手は逃亡。その他の性格未確認。</ns0:v>
      </ns0:c>
      <ns0:c r="V68" s="69" t="str">
        <ns0:v>夢の資源になるはずのダンジョンが負担になり、わずかな改善に実感が生まれる。</ns0:v>
      </ns0:c>
      <ns0:c r="W68" s="69" t="str">
        <ns0:v>労苦への共感と自力で暮らしを上向かせる手応え。</ns0:v>
      </ns0:c>
      <ns0:c r="X68" s="69" t="str">
        <ns0:v>電話が転機になると予告。改善手段の詳細は未確認。</ns0:v>
      </ns0:c>
      <ns0:c r="Y68" s="71" t="str">
        <ns0:v>過酷な管理と菜園の記述が根拠。</ns0:v>
      </ns0:c>
    </ns0:row>
    <ns0:row r="69" ht="64.05000305175781" customHeight="1">
      <ns0:c r="A69" s="2" t="s">
        <ns0:v>17</ns0:v>
      </ns0:c>
      <ns0:c r="B69" s="4">
        <ns0:v>64</ns0:v>
      </ns0:c>
      <ns0:c r="C69" s="2" t="s">
        <ns0:v>392</ns0:v>
      </ns0:c>
      <ns0:c r="D69" s="10" t="s">
        <ns0:v>2158</ns0:v>
      </ns0:c>
      <ns0:c r="E69" s="10"/>
      <ns0:c r="F69" s="10"/>
      <ns0:c r="G69" s="11" t="s">
        <ns0:v>2159</ns0:v>
      </ns0:c>
      <ns0:c r="H69" s="11"/>
      <ns0:c r="I69" s="2" t="s">
        <ns0:v>2256</ns0:v>
      </ns0:c>
      <ns0:c r="J69" s="2" t="s">
        <ns0:v>2257</ns0:v>
      </ns0:c>
      <ns0:c r="K69" s="2" t="s">
        <ns0:v>2258</ns0:v>
      </ns0:c>
      <ns0:c r="L69" s="2" t="s">
        <ns0:v>2163</ns0:v>
      </ns0:c>
      <ns0:c r="M69" s="5" t="s">
        <ns0:v>394</ns0:v>
      </ns0:c>
      <ns0:c r="N69" s="7" t="s">
        <ns0:v>395</ns0:v>
      </ns0:c>
      <ns0:c r="O69" s="7" t="s">
        <ns0:v>397</ns0:v>
      </ns0:c>
      <ns0:c r="P69" s="7" t="s">
        <ns0:v>2036</ns0:v>
      </ns0:c>
      <ns0:c r="Q69" s="7" t="s">
        <ns0:v>2037</ns0:v>
      </ns0:c>
      <ns0:c r="R69" s="7" t="s">
        <ns0:v>1818</ns0:v>
      </ns0:c>
      <ns0:c r="S69" s="73" t="str">
        <ns0:v>主ベース保留×生活逆転×能力レンタル×主人公体験×消耗したアニメ好きの会社員</ns0:v>
      </ns0:c>
      <ns0:c r="T69" s="72" t="str">
        <ns0:v>アニメ視聴を唯一の娯楽にする。その他の性格未確認。</ns0:v>
      </ns0:c>
      <ns0:c r="U69" s="72" t="str">
        <ns0:v>主要な相手役の性格は未確認。</ns0:v>
      </ns0:c>
      <ns0:c r="V69" s="72" t="str">
        <ns0:v>眺めるだけだった物語の主人公の力を、疲弊した本人が借りられる。</ns0:v>
      </ns0:c>
      <ns0:c r="W69" s="72" t="str">
        <ns0:v>無力な日常からの解放と主役になる自己投影。</ns0:v>
      </ns0:c>
      <ns0:c r="X69" s="72" t="str">
        <ns0:v>生活が変わること以外、主活動や変奏は未確認。</ns0:v>
      </ns0:c>
      <ns0:c r="Y69" s="74" t="str">
        <ns0:v>旧題・紹介文が根拠。復讐と配信はタグ段階。</ns0:v>
      </ns0:c>
    </ns0:row>
    <ns0:row r="70" ht="64.05000305175781" customHeight="1">
      <ns0:c r="A70" s="2" t="s">
        <ns0:v>17</ns0:v>
      </ns0:c>
      <ns0:c r="B70" s="4">
        <ns0:v>65</ns0:v>
      </ns0:c>
      <ns0:c r="C70" s="2" t="s">
        <ns0:v>398</ns0:v>
      </ns0:c>
      <ns0:c r="D70" s="6" t="s">
        <ns0:v>2063</ns0:v>
      </ns0:c>
      <ns0:c r="E70" s="6" t="s">
        <ns0:v>2252</ns0:v>
      </ns0:c>
      <ns0:c r="F70" s="6" t="s">
        <ns0:v>2151</ns0:v>
      </ns0:c>
      <ns0:c r="G70" s="2" t="s">
        <ns0:v>2040</ns0:v>
      </ns0:c>
      <ns0:c r="H70" s="2"/>
      <ns0:c r="I70" s="2" t="s">
        <ns0:v>2259</ns0:v>
      </ns0:c>
      <ns0:c r="J70" s="2" t="s">
        <ns0:v>2260</ns0:v>
      </ns0:c>
      <ns0:c r="K70" s="2" t="s">
        <ns0:v>2261</ns0:v>
      </ns0:c>
      <ns0:c r="L70" s="2" t="s">
        <ns0:v>2035</ns0:v>
      </ns0:c>
      <ns0:c r="M70" s="5" t="s">
        <ns0:v>400</ns0:v>
      </ns0:c>
      <ns0:c r="N70" s="7" t="s">
        <ns0:v>401</ns0:v>
      </ns0:c>
      <ns0:c r="O70" s="7" t="s">
        <ns0:v>403</ns0:v>
      </ns0:c>
      <ns0:c r="P70" s="7" t="s">
        <ns0:v>2036</ns0:v>
      </ns0:c>
      <ns0:c r="Q70" s="7" t="s">
        <ns0:v>2037</ns0:v>
      </ns0:c>
      <ns0:c r="R70" s="7" t="s">
        <ns0:v>1848</ns0:v>
      </ns0:c>
      <ns0:c r="S70" s="70" t="str">
        <ns0:v>生活づくり×DIY・農業×異世界救済×無自覚×干渉されず暮らしたい元SE×育つ精霊</ns0:v>
      </ns0:c>
      <ns0:c r="T70" s="69" t="str">
        <ns0:v>邪魔されない暮らしを望み、奇妙な代金にも穏やかに応じる。</ns0:v>
      </ns0:c>
      <ns0:c r="U70" s="69" t="str">
        <ns0:v>精霊は暮らしの充実に伴って育つ。個別性格未確認。</ns0:v>
      </ns0:c>
      <ns0:c r="V70" s="69" t="str">
        <ns0:v>自分の生活を整える小さな作業が、知らない世界では大きな救いになる。</ns0:v>
      </ns0:c>
      <ns0:c r="W70" s="69" t="str">
        <ns0:v>快適な日常と、読者だけが知る善い波及。</ns0:v>
      </ns0:c>
      <ns0:c r="X70" s="69" t="str">
        <ns0:v>菜園・DIY・精霊の成長が連動。本人は最後まで無自覚と明記。</ns0:v>
      </ns0:c>
      <ns0:c r="Y70" s="71" t="str">
        <ns0:v>直売所の認識差が根拠。本人が救済を企図する話にはしない。</ns0:v>
      </ns0:c>
    </ns0:row>
    <ns0:row r="71" ht="64.05000305175781" customHeight="1">
      <ns0:c r="A71" s="2" t="s">
        <ns0:v>17</ns0:v>
      </ns0:c>
      <ns0:c r="B71" s="4">
        <ns0:v>66</ns0:v>
      </ns0:c>
      <ns0:c r="C71" s="2" t="s">
        <ns0:v>404</ns0:v>
      </ns0:c>
      <ns0:c r="D71" s="6" t="s">
        <ns0:v>2048</ns0:v>
      </ns0:c>
      <ns0:c r="E71" s="6" t="s">
        <ns0:v>2050</ns0:v>
      </ns0:c>
      <ns0:c r="F71" s="6" t="s">
        <ns0:v>2117</ns0:v>
      </ns0:c>
      <ns0:c r="G71" s="2" t="s">
        <ns0:v>2040</ns0:v>
      </ns0:c>
      <ns0:c r="H71" s="2"/>
      <ns0:c r="I71" s="2" t="s">
        <ns0:v>2262</ns0:v>
      </ns0:c>
      <ns0:c r="J71" s="2" t="s">
        <ns0:v>2263</ns0:v>
      </ns0:c>
      <ns0:c r="K71" s="2" t="s">
        <ns0:v>2264</ns0:v>
      </ns0:c>
      <ns0:c r="L71" s="2" t="s">
        <ns0:v>2035</ns0:v>
      </ns0:c>
      <ns0:c r="M71" s="5" t="s">
        <ns0:v>405</ns0:v>
      </ns0:c>
      <ns0:c r="N71" s="7" t="s">
        <ns0:v>406</ns0:v>
      </ns0:c>
      <ns0:c r="O71" s="7" t="s">
        <ns0:v>408</ns0:v>
      </ns0:c>
      <ns0:c r="P71" s="7" t="s">
        <ns0:v>2036</ns0:v>
      </ns0:c>
      <ns0:c r="Q71" s="7" t="s">
        <ns0:v>2037</ns0:v>
      </ns0:c>
      <ns0:c r="R71" s="7" t="s">
        <ns0:v>1832</ns0:v>
      </ns0:c>
      <ns0:c r="S71" s="73" t="str">
        <ns0:v>治療商売×鑑定×無敵化×自信を深める主人公×塩対応の有能秘書×税務の見落とし</ns0:v>
      </ns0:c>
      <ns0:c r="T71" s="72" t="str">
        <ns0:v>能力・人脈・設備で完璧に備えたと考える。</ns0:v>
      </ns0:c>
      <ns0:c r="U71" s="72" t="str">
        <ns0:v>秘書は優秀で塩対応と明記。</ns0:v>
      </ns0:c>
      <ns0:c r="V71" s="72" t="str">
        <ns0:v>敵意や病気を見抜けても、商売に伴う義務の見落としは防げない。</ns0:v>
      </ns0:c>
      <ns0:c r="W71" s="72" t="str">
        <ns0:v>大儲けの快感と万能感が日常制度で崩れる笑い。</ns0:v>
      </ns0:c>
      <ns0:c r="X71" s="72" t="str">
        <ns0:v>客層拡大と税務による逆転まで紹介済み。</ns0:v>
      </ns0:c>
      <ns0:c r="Y71" s="74" t="str">
        <ns0:v>税務は作品内の展開分析。現実の税法の妥当性は検証していない。</ns0:v>
      </ns0:c>
    </ns0:row>
    <ns0:row r="72" ht="64.05000305175781" customHeight="1">
      <ns0:c r="A72" s="2" t="s">
        <ns0:v>17</ns0:v>
      </ns0:c>
      <ns0:c r="B72" s="4">
        <ns0:v>67</ns0:v>
      </ns0:c>
      <ns0:c r="C72" s="2" t="s">
        <ns0:v>409</ns0:v>
      </ns0:c>
      <ns0:c r="D72" s="6" t="s">
        <ns0:v>2073</ns0:v>
      </ns0:c>
      <ns0:c r="E72" s="6" t="s">
        <ns0:v>2049</ns0:v>
      </ns0:c>
      <ns0:c r="F72" s="6"/>
      <ns0:c r="G72" s="2" t="s">
        <ns0:v>2040</ns0:v>
      </ns0:c>
      <ns0:c r="H72" s="2"/>
      <ns0:c r="I72" s="2" t="s">
        <ns0:v>2265</ns0:v>
      </ns0:c>
      <ns0:c r="J72" s="2" t="s">
        <ns0:v>2266</ns0:v>
      </ns0:c>
      <ns0:c r="K72" s="2" t="s">
        <ns0:v>2267</ns0:v>
      </ns0:c>
      <ns0:c r="L72" s="2" t="s">
        <ns0:v>2035</ns0:v>
      </ns0:c>
      <ns0:c r="M72" s="5" t="s">
        <ns0:v>411</ns0:v>
      </ns0:c>
      <ns0:c r="N72" s="7" t="s">
        <ns0:v>412</ns0:v>
      </ns0:c>
      <ns0:c r="O72" s="7" t="s">
        <ns0:v>414</ns0:v>
      </ns0:c>
      <ns0:c r="P72" s="7" t="s">
        <ns0:v>2036</ns0:v>
      </ns0:c>
      <ns0:c r="Q72" s="7" t="s">
        <ns0:v>2037</ns0:v>
      </ns0:c>
      <ns0:c r="R72" s="7" t="s">
        <ns0:v>1824</ns0:v>
      </ns0:c>
      <ns0:c r="S72" s="70" t="str">
        <ns0:v>復讐×錬金創造×最強化×人間不信の少年×信頼できる存在を自作する願望</ns0:v>
      </ns0:c>
      <ns0:c r="T72" s="69" t="str">
        <ns0:v>裏切りで人間を信用せず、残酷な復讐を選ぶ。</ns0:v>
      </ns0:c>
      <ns0:c r="U72" s="69" t="str">
        <ns0:v>神狼は孤独。メイドは最愛の存在だが性格未確認。</ns0:v>
      </ns0:c>
      <ns0:c r="V72" s="69" t="str">
        <ns0:v>創造の力が物資の便利さにとどまらず、裏切らない関係を求める欲求に向く。</ns0:v>
      </ns0:c>
      <ns0:c r="W72" s="69" t="str">
        <ns0:v>裏切りへの報復と信頼を自分で確保する欲望。</ns0:v>
      </ns0:c>
      <ns0:c r="X72" s="69" t="str">
        <ns0:v>復讐の進行を予告。復讐後の関係変化は未確認。</ns0:v>
      </ns0:c>
      <ns0:c r="Y72" s="71" t="str">
        <ns0:v>信じられる者を創るはキャッチ。従者の自発性は未確認。</ns0:v>
      </ns0:c>
    </ns0:row>
    <ns0:row r="73" ht="64.05000305175781" customHeight="1">
      <ns0:c r="A73" s="2" t="s">
        <ns0:v>17</ns0:v>
      </ns0:c>
      <ns0:c r="B73" s="4">
        <ns0:v>68</ns0:v>
      </ns0:c>
      <ns0:c r="C73" s="2" t="s">
        <ns0:v>415</ns0:v>
      </ns0:c>
      <ns0:c r="D73" s="6" t="s">
        <ns0:v>2054</ns0:v>
      </ns0:c>
      <ns0:c r="E73" s="6" t="s">
        <ns0:v>2117</ns0:v>
      </ns0:c>
      <ns0:c r="F73" s="6" t="s">
        <ns0:v>2044</ns0:v>
      </ns0:c>
      <ns0:c r="G73" s="2" t="s">
        <ns0:v>2040</ns0:v>
      </ns0:c>
      <ns0:c r="H73" s="2"/>
      <ns0:c r="I73" s="2" t="s">
        <ns0:v>2268</ns0:v>
      </ns0:c>
      <ns0:c r="J73" s="2" t="s">
        <ns0:v>2269</ns0:v>
      </ns0:c>
      <ns0:c r="K73" s="2" t="s">
        <ns0:v>2270</ns0:v>
      </ns0:c>
      <ns0:c r="L73" s="2" t="s">
        <ns0:v>2035</ns0:v>
      </ns0:c>
      <ns0:c r="M73" s="5" t="s">
        <ns0:v>417</ns0:v>
      </ns0:c>
      <ns0:c r="N73" s="7" t="s">
        <ns0:v>418</ns0:v>
      </ns0:c>
      <ns0:c r="O73" s="7" t="s">
        <ns0:v>420</ns0:v>
      </ns0:c>
      <ns0:c r="P73" s="7" t="s">
        <ns0:v>2036</ns0:v>
      </ns0:c>
      <ns0:c r="Q73" s="7" t="s">
        <ns0:v>2037</ns0:v>
      </ns0:c>
      <ns0:c r="R73" s="7" t="s">
        <ns0:v>1880</ns0:v>
      </ns0:c>
      <ns0:c r="S73" s="73" t="str">
        <ns0:v>探索×経営×能力コピー・改造×正体隠し×力を伏せる帰還者×令嬢の幼馴染</ns0:v>
      </ns0:c>
      <ns0:c r="T73" s="72" t="str">
        <ns0:v>本当の能力を隠す。対人性格は未確認。</ns0:v>
      </ns0:c>
      <ns0:c r="U73" s="72" t="str">
        <ns0:v>幼馴染は令嬢。性格は未確認。</ns0:v>
      </ns0:c>
      <ns0:c r="V73" s="72" t="str">
        <ns0:v>最弱扱いの解析能力と、読者が知るコピー・改造の力に落差がある。</ns0:v>
      </ns0:c>
      <ns0:c r="W73" s="72" t="str">
        <ns0:v>隠れた実力の発揮と迷宮の秘密の解明。</ns0:v>
      </ns0:c>
      <ns0:c r="X73" s="72" t="str">
        <ns0:v>経営は題名・キャッチ、未知の勢力は紹介文。運営詳細未確認。</ns0:v>
      </ns0:c>
      <ns0:c r="Y73" s="74" t="str">
        <ns0:v>令嬢という立場を高飛車な性格に置き換えない。</ns0:v>
      </ns0:c>
    </ns0:row>
    <ns0:row r="74" ht="64.05000305175781" customHeight="1">
      <ns0:c r="A74" s="2" t="s">
        <ns0:v>17</ns0:v>
      </ns0:c>
      <ns0:c r="B74" s="4">
        <ns0:v>69</ns0:v>
      </ns0:c>
      <ns0:c r="C74" s="2" t="s">
        <ns0:v>421</ns0:v>
      </ns0:c>
      <ns0:c r="D74" s="6" t="s">
        <ns0:v>2030</ns0:v>
      </ns0:c>
      <ns0:c r="E74" s="6" t="s">
        <ns0:v>2029</ns0:v>
      </ns0:c>
      <ns0:c r="F74" s="6" t="s">
        <ns0:v>2044</ns0:v>
      </ns0:c>
      <ns0:c r="G74" s="9" t="s">
        <ns0:v>2031</ns0:v>
      </ns0:c>
      <ns0:c r="H74" s="9" t="s">
        <ns0:v>2029</ns0:v>
      </ns0:c>
      <ns0:c r="I74" s="2" t="s">
        <ns0:v>2271</ns0:v>
      </ns0:c>
      <ns0:c r="J74" s="2" t="s">
        <ns0:v>2272</ns0:v>
      </ns0:c>
      <ns0:c r="K74" s="2" t="s">
        <ns0:v>2273</ns0:v>
      </ns0:c>
      <ns0:c r="L74" s="2" t="s">
        <ns0:v>2035</ns0:v>
      </ns0:c>
      <ns0:c r="M74" s="5" t="s">
        <ns0:v>423</ns0:v>
      </ns0:c>
      <ns0:c r="N74" s="7" t="s">
        <ns0:v>424</ns0:v>
      </ns0:c>
      <ns0:c r="O74" s="7" t="s">
        <ns0:v>426</ns0:v>
      </ns0:c>
      <ns0:c r="P74" s="7" t="s">
        <ns0:v>2036</ns0:v>
      </ns0:c>
      <ns0:c r="Q74" s="7" t="s">
        <ns0:v>2037</ns0:v>
      </ns0:c>
      <ns0:c r="R74" s="7" t="s">
        <ns0:v>1868</ns0:v>
      </ns0:c>
      <ns0:c r="S74" s="70" t="str">
        <ns0:v>探索配信×分身と装備複製×企業スポンサー×使い方を見直す主人公×能力を見出す企業</ns0:v>
      </ns0:c>
      <ns0:c r="T74" s="69" t="str">
        <ns0:v>装備複製の用途に気づき、人生の逆転を望む。</ns0:v>
      </ns0:c>
      <ns0:c r="U74" s="69" t="str">
        <ns0:v>企業は能力を評価。担当者や仲間の性格未確認。</ns0:v>
      </ns0:c>
      <ns0:c r="V74" s="69" t="str">
        <ns0:v>高価な装備ほど複製の価値が上がり、支援企業と能力の利益がかみ合う。</ns0:v>
      </ns0:c>
      <ns0:c r="W74" s="69" t="str">
        <ns0:v>低評価技能の再解釈と装備が増える高揚。</ns0:v>
      </ns0:c>
      <ns0:c r="X74" s="69" t="str">
        <ns0:v>分身・装備・仲間の増加を予告。</ns0:v>
      </ns0:c>
      <ns0:c r="Y74" s="71" t="str">
        <ns0:v>気づきとスポンサー契約が根拠。独自の対人性格は情報不足。</ns0:v>
      </ns0:c>
    </ns0:row>
    <ns0:row r="75" ht="64.05000305175781" customHeight="1">
      <ns0:c r="A75" s="2" t="s">
        <ns0:v>17</ns0:v>
      </ns0:c>
      <ns0:c r="B75" s="4">
        <ns0:v>70</ns0:v>
      </ns0:c>
      <ns0:c r="C75" s="2" t="s">
        <ns0:v>427</ns0:v>
      </ns0:c>
      <ns0:c r="D75" s="6" t="s">
        <ns0:v>2044</ns0:v>
      </ns0:c>
      <ns0:c r="E75" s="6" t="s">
        <ns0:v>2038</ns0:v>
      </ns0:c>
      <ns0:c r="F75" s="6"/>
      <ns0:c r="G75" s="2" t="s">
        <ns0:v>2040</ns0:v>
      </ns0:c>
      <ns0:c r="H75" s="2"/>
      <ns0:c r="I75" s="2" t="s">
        <ns0:v>2274</ns0:v>
      </ns0:c>
      <ns0:c r="J75" s="2" t="s">
        <ns0:v>2275</ns0:v>
      </ns0:c>
      <ns0:c r="K75" s="2" t="s">
        <ns0:v>2276</ns0:v>
      </ns0:c>
      <ns0:c r="L75" s="2" t="s">
        <ns0:v>2277</ns0:v>
      </ns0:c>
      <ns0:c r="M75" s="5" t="s">
        <ns0:v>429</ns0:v>
      </ns0:c>
      <ns0:c r="N75" s="7" t="s">
        <ns0:v>430</ns0:v>
      </ns0:c>
      <ns0:c r="O75" s="7" t="s">
        <ns0:v>432</ns0:v>
      </ns0:c>
      <ns0:c r="P75" s="7" t="s">
        <ns0:v>2036</ns0:v>
      </ns0:c>
      <ns0:c r="Q75" s="7" t="s">
        <ns0:v>2037</ns0:v>
      </ns0:c>
      <ns0:c r="R75" s="7" t="s">
        <ns0:v>1898</ns0:v>
      </ns0:c>
      <ns0:c r="S75" s="73" t="str">
        <ns0:v>探索×最強化×最下層への事故到達×ラノベ好きの少年×周囲の化け物扱い</ns0:v>
      </ns0:c>
      <ns0:c r="T75" s="72" t="str">
        <ns0:v>ラノベ好き。武器がない状況では逃げる。</ns0:v>
      </ns0:c>
      <ns0:c r="U75" s="72" t="str">
        <ns0:v>神の少女の性格は未確認。</ns0:v>
      </ns0:c>
      <ns0:c r="V75" s="72" t="str">
        <ns0:v>不運な最下層到達が恩恵になり、本人の出発点と周囲の恐れがずれる。</ns0:v>
      </ns0:c>
      <ns0:c r="W75" s="72" t="str">
        <ns0:v>不運からの大逆転と力への驚き。</ns0:v>
      </ns0:c>
      <ns0:c r="X75" s="72" t="str">
        <ns0:v>最強への成長を予告。性格を使った反復の詳細は未確認。</ns0:v>
      </ns0:c>
      <ns0:c r="Y75" s="74" t="str">
        <ns0:v>事故・到達報酬は紹介文、化け物扱いは題名。</ns0:v>
      </ns0:c>
    </ns0:row>
    <ns0:row r="76" ht="64.05000305175781" customHeight="1">
      <ns0:c r="A76" s="2" t="s">
        <ns0:v>17</ns0:v>
      </ns0:c>
      <ns0:c r="B76" s="4">
        <ns0:v>71</ns0:v>
      </ns0:c>
      <ns0:c r="C76" s="2" t="s">
        <ns0:v>433</ns0:v>
      </ns0:c>
      <ns0:c r="D76" s="6" t="s">
        <ns0:v>2044</ns0:v>
      </ns0:c>
      <ns0:c r="E76" s="6"/>
      <ns0:c r="F76" s="6"/>
      <ns0:c r="G76" s="2" t="s">
        <ns0:v>2040</ns0:v>
      </ns0:c>
      <ns0:c r="H76" s="2"/>
      <ns0:c r="I76" s="2" t="s">
        <ns0:v>2278</ns0:v>
      </ns0:c>
      <ns0:c r="J76" s="2" t="s">
        <ns0:v>2279</ns0:v>
      </ns0:c>
      <ns0:c r="K76" s="2" t="s">
        <ns0:v>2280</ns0:v>
      </ns0:c>
      <ns0:c r="L76" s="2" t="s">
        <ns0:v>2035</ns0:v>
      </ns0:c>
      <ns0:c r="M76" s="5" t="s">
        <ns0:v>435</ns0:v>
      </ns0:c>
      <ns0:c r="N76" s="7" t="s">
        <ns0:v>436</ns0:v>
      </ns0:c>
      <ns0:c r="O76" s="7" t="s">
        <ns0:v>438</ns0:v>
      </ns0:c>
      <ns0:c r="P76" s="7" t="s">
        <ns0:v>2036</ns0:v>
      </ns0:c>
      <ns0:c r="Q76" s="7" t="s">
        <ns0:v>2037</ns0:v>
      </ns0:c>
      <ns0:c r="R76" s="7" t="s">
        <ns0:v>1877</ns0:v>
      </ns0:c>
      <ns0:c r="S76" s="70" t="str">
        <ns0:v>退魔バトル×超成長×能力体系の不一致×肉体での突破×困惑を語る転生者</ns0:v>
      </ns0:c>
      <ns0:c r="T76" s="69" t="str">
        <ns0:v>不適合を自嘲する語り。継続的な性格は未確認。</ns0:v>
      </ns0:c>
      <ns0:c r="U76" s="69" t="str">
        <ns0:v>周囲は翻弄されるとキャッチに記載。個別性格未確認。</ns0:v>
      </ns0:c>
      <ns0:c r="V76" s="69" t="str">
        <ns0:v>魔力が役立たない世界で、残った肉体の成長が別経路の圧倒的な解になる。</ns0:v>
      </ns0:c>
      <ns0:c r="W76" s="69" t="str">
        <ns0:v>外れた期待を別の強みで回収する可笑しさ。</ns0:v>
      </ns0:c>
      <ns0:c r="X76" s="69" t="str">
        <ns0:v>退魔世界への関与を予告。反復方法は未確認。</ns0:v>
      </ns0:c>
      <ns0:c r="Y76" s="71" t="str">
        <ns0:v>魔力と霊力の差が根拠。肉体派だから単純な性格とはしない。</ns0:v>
      </ns0:c>
    </ns0:row>
    <ns0:row r="77" ht="64.05000305175781" customHeight="1">
      <ns0:c r="A77" s="2" t="s">
        <ns0:v>17</ns0:v>
      </ns0:c>
      <ns0:c r="B77" s="4">
        <ns0:v>72</ns0:v>
      </ns0:c>
      <ns0:c r="C77" s="2" t="s">
        <ns0:v>439</ns0:v>
      </ns0:c>
      <ns0:c r="D77" s="6" t="s">
        <ns0:v>2113</ns0:v>
      </ns0:c>
      <ns0:c r="E77" s="6" t="s">
        <ns0:v>2054</ns0:v>
      </ns0:c>
      <ns0:c r="F77" s="6" t="s">
        <ns0:v>2078</ns0:v>
      </ns0:c>
      <ns0:c r="G77" s="2" t="s">
        <ns0:v>2040</ns0:v>
      </ns0:c>
      <ns0:c r="H77" s="2"/>
      <ns0:c r="I77" s="2" t="s">
        <ns0:v>2281</ns0:v>
      </ns0:c>
      <ns0:c r="J77" s="2" t="s">
        <ns0:v>2282</ns0:v>
      </ns0:c>
      <ns0:c r="K77" s="2" t="s">
        <ns0:v>2283</ns0:v>
      </ns0:c>
      <ns0:c r="L77" s="2" t="s">
        <ns0:v>2035</ns0:v>
      </ns0:c>
      <ns0:c r="M77" s="5" t="s">
        <ns0:v>441</ns0:v>
      </ns0:c>
      <ns0:c r="N77" s="7" t="s">
        <ns0:v>442</ns0:v>
      </ns0:c>
      <ns0:c r="O77" s="7" t="s">
        <ns0:v>444</ns0:v>
      </ns0:c>
      <ns0:c r="P77" s="7" t="s">
        <ns0:v>2036</ns0:v>
      </ns0:c>
      <ns0:c r="Q77" s="7" t="s">
        <ns0:v>2037</ns0:v>
      </ns0:c>
      <ns0:c r="R77" s="7" t="s">
        <ns0:v>1810</ns0:v>
      </ns0:c>
      <ns0:c r="S77" s="73" t="str">
        <ns0:v>家族扶養×探索×金策×努力による魔法無双×家族思いの長男×装備に使えない貧乏</ns0:v>
      </ns0:c>
      <ns0:c r="T77" s="72" t="str">
        <ns0:v>平凡な生活を望み、弟妹を養うため稼ぐ。</ns0:v>
      </ns0:c>
      <ns0:c r="U77" s="72" t="str">
        <ns0:v>弟妹の性格は未確認。</ns0:v>
      </ns0:c>
      <ns0:c r="V77" s="72" t="str">
        <ns0:v>装備に金を使えない事情が魔法を磨く方向と結びつき、強さを生活へ還元する。</ns0:v>
      </ns0:c>
      <ns0:c r="W77" s="72" t="str">
        <ns0:v>家族を支える頼もしさと工夫・努力の報い。</ns0:v>
      </ns0:c>
      <ns0:c r="X77" s="72" t="str">
        <ns0:v>深部進出と才能への噂が予告される。</ns0:v>
      </ns0:c>
      <ns0:c r="Y77" s="74" t="str">
        <ns0:v>無課金装備はキャッチ、家族の動機は紹介文。</ns0:v>
      </ns0:c>
    </ns0:row>
    <ns0:row r="78" ht="67.95" customHeight="1">
      <ns0:c r="A78" s="2" t="s">
        <ns0:v>17</ns0:v>
      </ns0:c>
      <ns0:c r="B78" s="4">
        <ns0:v>73</ns0:v>
      </ns0:c>
      <ns0:c r="C78" s="2" t="s">
        <ns0:v>445</ns0:v>
      </ns0:c>
      <ns0:c r="D78" s="6" t="s">
        <ns0:v>2284</ns0:v>
      </ns0:c>
      <ns0:c r="E78" s="6" t="s">
        <ns0:v>2054</ns0:v>
      </ns0:c>
      <ns0:c r="F78" s="6"/>
      <ns0:c r="G78" s="2" t="s">
        <ns0:v>2040</ns0:v>
      </ns0:c>
      <ns0:c r="H78" s="2"/>
      <ns0:c r="I78" s="2" t="s">
        <ns0:v>2285</ns0:v>
      </ns0:c>
      <ns0:c r="J78" s="2" t="s">
        <ns0:v>2286</ns0:v>
      </ns0:c>
      <ns0:c r="K78" s="2" t="s">
        <ns0:v>2287</ns0:v>
      </ns0:c>
      <ns0:c r="L78" s="2" t="s">
        <ns0:v>2035</ns0:v>
      </ns0:c>
      <ns0:c r="M78" s="5" t="s">
        <ns0:v>446</ns0:v>
      </ns0:c>
      <ns0:c r="N78" s="7" t="s">
        <ns0:v>447</ns0:v>
      </ns0:c>
      <ns0:c r="O78" s="7" t="s">
        <ns0:v>449</ns0:v>
      </ns0:c>
      <ns0:c r="P78" s="7" t="s">
        <ns0:v>2036</ns0:v>
      </ns0:c>
      <ns0:c r="Q78" s="7" t="s">
        <ns0:v>2037</ns0:v>
      </ns0:c>
      <ns0:c r="R78" s="7" t="s">
        <ns0:v>1821</ns0:v>
      </ns0:c>
      <ns0:c r="S78" s="70" t="str">
        <ns0:v>探索×実績収集×先着報酬×達成自体にわくわくするゲーマー</ns0:v>
      </ns0:c>
      <ns0:c r="T78" s="69" t="str">
        <ns0:v>人が見過ごす実績を本気で取りに行く。</ns0:v>
      </ns0:c>
      <ns0:c r="U78" s="69" t="str">
        <ns0:v>主要な相手役の性格は未確認。</ns0:v>
      </ns0:c>
      <ns0:c r="V78" s="69" t="str">
        <ns0:v>本人には趣味の達成が、世界では先着の希少な利益になる。</ns0:v>
      </ns0:c>
      <ns0:c r="W78" s="69" t="str">
        <ns0:v>収集の喜びと好きなことが先行利益を生む快感。</ns0:v>
      </ns0:c>
      <ns0:c r="X78" s="69" t="str">
        <ns0:v>次の実績を選ぶ反復を提示。報酬の詳細は未確認。</ns0:v>
      </ns0:c>
      <ns0:c r="Y78" s="71" t="str">
        <ns0:v>実績への情熱は紹介文、先着報酬は題名。</ns0:v>
      </ns0:c>
    </ns0:row>
    <ns0:row r="79" ht="64.05000305175781" customHeight="1">
      <ns0:c r="A79" s="2" t="s">
        <ns0:v>17</ns0:v>
      </ns0:c>
      <ns0:c r="B79" s="4">
        <ns0:v>74</ns0:v>
      </ns0:c>
      <ns0:c r="C79" s="2" t="s">
        <ns0:v>450</ns0:v>
      </ns0:c>
      <ns0:c r="D79" s="6" t="s">
        <ns0:v>2029</ns0:v>
      </ns0:c>
      <ns0:c r="E79" s="6" t="s">
        <ns0:v>2044</ns0:v>
      </ns0:c>
      <ns0:c r="F79" s="6" t="s">
        <ns0:v>2030</ns0:v>
      </ns0:c>
      <ns0:c r="G79" s="9" t="s">
        <ns0:v>2059</ns0:v>
      </ns0:c>
      <ns0:c r="H79" s="9" t="s">
        <ns0:v>2029</ns0:v>
      </ns0:c>
      <ns0:c r="I79" s="2" t="s">
        <ns0:v>2288</ns0:v>
      </ns0:c>
      <ns0:c r="J79" s="2" t="s">
        <ns0:v>2289</ns0:v>
      </ns0:c>
      <ns0:c r="K79" s="2" t="s">
        <ns0:v>2290</ns0:v>
      </ns0:c>
      <ns0:c r="L79" s="2" t="s">
        <ns0:v>2035</ns0:v>
      </ns0:c>
      <ns0:c r="M79" s="5" t="s">
        <ns0:v>452</ns0:v>
      </ns0:c>
      <ns0:c r="N79" s="7" t="s">
        <ns0:v>453</ns0:v>
      </ns0:c>
      <ns0:c r="O79" s="7" t="s">
        <ns0:v>455</ns0:v>
      </ns0:c>
      <ns0:c r="P79" s="7" t="s">
        <ns0:v>2036</ns0:v>
      </ns0:c>
      <ns0:c r="Q79" s="7" t="s">
        <ns0:v>2037</ns0:v>
      </ns0:c>
      <ns0:c r="R79" s="7" t="s">
        <ns0:v>1897</ns0:v>
      </ns0:c>
      <ns0:c r="S79" s="73" t="str">
        <ns0:v>配信×無双×文化の認識差×本気で高飛車な悪役令嬢×罵倒を喜ぶ視聴者</ns0:v>
      </ns0:c>
      <ns0:c r="T79" s="72" t="str">
        <ns0:v>高貴さを誇り、無礼な金銭に本気で怒る。</ns0:v>
      </ns0:c>
      <ns0:c r="U79" s="72" t="str">
        <ns0:v>視聴者は怒りをツンデレ演出として楽しむ。</ns0:v>
      </ns0:c>
      <ns0:c r="V79" s="72" t="str">
        <ns0:v>拒否や罵倒がファンサービスとして受け取られ、本人の意図と人気が逆向きに結びつく。</ns0:v>
      </ns0:c>
      <ns0:c r="W79" s="72" t="str">
        <ns0:v>本気とキャラ扱いの認識差、予想外の称賛。</ns0:v>
      </ns0:c>
      <ns0:c r="X79" s="72" t="str">
        <ns0:v>反応と投げ銭が増す構図を予告。短編シリーズとのタグあり。</ns0:v>
      </ns0:c>
      <ns0:c r="Y79" s="74" t="str">
        <ns0:v>本人は本気で見下すと明記。実際にツンデレとは断定しない。</ns0:v>
      </ns0:c>
    </ns0:row>
    <ns0:row r="80" ht="64.05000305175781" customHeight="1">
      <ns0:c r="A80" s="2" t="s">
        <ns0:v>17</ns0:v>
      </ns0:c>
      <ns0:c r="B80" s="4">
        <ns0:v>75</ns0:v>
      </ns0:c>
      <ns0:c r="C80" s="2" t="s">
        <ns0:v>456</ns0:v>
      </ns0:c>
      <ns0:c r="D80" s="6" t="s">
        <ns0:v>2063</ns0:v>
      </ns0:c>
      <ns0:c r="E80" s="6" t="s">
        <ns0:v>2050</ns0:v>
      </ns0:c>
      <ns0:c r="F80" s="6" t="s">
        <ns0:v>2284</ns0:v>
      </ns0:c>
      <ns0:c r="G80" s="2" t="s">
        <ns0:v>2040</ns0:v>
      </ns0:c>
      <ns0:c r="H80" s="2"/>
      <ns0:c r="I80" s="2" t="s">
        <ns0:v>2291</ns0:v>
      </ns0:c>
      <ns0:c r="J80" s="2" t="s">
        <ns0:v>2292</ns0:v>
      </ns0:c>
      <ns0:c r="K80" s="2" t="s">
        <ns0:v>2293</ns0:v>
      </ns0:c>
      <ns0:c r="L80" s="2" t="s">
        <ns0:v>2035</ns0:v>
      </ns0:c>
      <ns0:c r="M80" s="5" t="s">
        <ns0:v>458</ns0:v>
      </ns0:c>
      <ns0:c r="N80" s="7" t="s">
        <ns0:v>459</ns0:v>
      </ns0:c>
      <ns0:c r="O80" s="7" t="s">
        <ns0:v>461</ns0:v>
      </ns0:c>
      <ns0:c r="P80" s="7" t="s">
        <ns0:v>2036</ns0:v>
      </ns0:c>
      <ns0:c r="Q80" s="7" t="s">
        <ns0:v>2037</ns0:v>
      </ns0:c>
      <ns0:c r="R80" s="7" t="s">
        <ns0:v>1820</ns0:v>
      </ns0:c>
      <ns0:c r="S80" s="70" t="str">
        <ns0:v>救助×配信×無自覚無双×熱烈な推し活女性×推す側でいたい願望×興味を持つ推したち</ns0:v>
      </ns0:c>
      <ns0:c r="T80" s="69" t="str">
        <ns0:v>お布施に励み、注目されるより推す側でいたい。</ns0:v>
      </ns0:c>
      <ns0:c r="U80" s="69" t="str">
        <ns0:v>助けられた推しは感謝。他の推しも関心を寄せる。</ns0:v>
      </ns0:c>
      <ns0:c r="V80" s="69" t="str">
        <ns0:v>推し活のために得た強さが本人を有名にし、推す側でいる望みを妨げる。</ns0:v>
      </ns0:c>
      <ns0:c r="W80" s="69" t="str">
        <ns0:v>推しに認められる喜びと立場逆転の照れ。</ns0:v>
      </ns0:c>
      <ns0:c r="X80" s="69" t="str">
        <ns0:v>多数の推しとの接点と事件への関与を予告。</ns0:v>
      </ns0:c>
      <ns0:c r="Y80" s="71" t="str">
        <ns0:v>推す側へのこだわりは明記。好意を全て恋愛とは扱わない。</ns0:v>
      </ns0:c>
    </ns0:row>
    <ns0:row r="81" ht="64.05000305175781" customHeight="1">
      <ns0:c r="A81" s="2" t="s">
        <ns0:v>17</ns0:v>
      </ns0:c>
      <ns0:c r="B81" s="4">
        <ns0:v>76</ns0:v>
      </ns0:c>
      <ns0:c r="C81" s="2" t="s">
        <ns0:v>462</ns0:v>
      </ns0:c>
      <ns0:c r="D81" s="6" t="s">
        <ns0:v>2044</ns0:v>
      </ns0:c>
      <ns0:c r="E81" s="6" t="s">
        <ns0:v>2030</ns0:v>
      </ns0:c>
      <ns0:c r="F81" s="6"/>
      <ns0:c r="G81" s="2" t="s">
        <ns0:v>2040</ns0:v>
      </ns0:c>
      <ns0:c r="H81" s="2"/>
      <ns0:c r="I81" s="2" t="s">
        <ns0:v>2294</ns0:v>
      </ns0:c>
      <ns0:c r="J81" s="2" t="s">
        <ns0:v>2295</ns0:v>
      </ns0:c>
      <ns0:c r="K81" s="2" t="s">
        <ns0:v>2296</ns0:v>
      </ns0:c>
      <ns0:c r="L81" s="2" t="s">
        <ns0:v>2173</ns0:v>
      </ns0:c>
      <ns0:c r="M81" s="5" t="s">
        <ns0:v>464</ns0:v>
      </ns0:c>
      <ns0:c r="N81" s="7" t="s">
        <ns0:v>465</ns0:v>
      </ns0:c>
      <ns0:c r="O81" s="7" t="s">
        <ns0:v>467</ns0:v>
      </ns0:c>
      <ns0:c r="P81" s="7" t="s">
        <ns0:v>2036</ns0:v>
      </ns0:c>
      <ns0:c r="Q81" s="7" t="s">
        <ns0:v>2037</ns0:v>
      </ns0:c>
      <ns0:c r="R81" s="7" t="s">
        <ns0:v>1814</ns0:v>
      </ns0:c>
      <ns0:c r="S81" s="73" t="str">
        <ns0:v>暗殺稼業×FPSの視覚情報×実力への誤認×生き延びたい青年×能力を見出す仲介人</ns0:v>
      </ns0:c>
      <ns0:c r="T81" s="72" t="str">
        <ns0:v>当初は生き延びるため動く。殺しを好む性格は未確認。</ns0:v>
      </ns0:c>
      <ns0:c r="U81" s="72" t="str">
        <ns0:v>仲介人は手際に注目。性格未確認。</ns0:v>
      </ns0:c>
      <ns0:c r="V81" s="72" t="str">
        <ns0:v>生存のためゲーム感覚を使った行動が、裏社会では熟練の殺し屋の証明になる。</ns0:v>
      </ns0:c>
      <ns0:c r="W81" s="72" t="str">
        <ns0:v>修羅場を切り抜ける快感と意図しない評価への緊張。</ns0:v>
      </ns0:c>
      <ns0:c r="X81" s="72" t="str">
        <ns0:v>殺し屋として祭り上げられる過程を予告。</ns0:v>
      </ns0:c>
      <ns0:c r="Y81" s="74" t="str">
        <ns0:v>動機と仲介人の注目が根拠。殺人嗜好は補完しない。</ns0:v>
      </ns0:c>
    </ns0:row>
    <ns0:row r="82" ht="64.05000305175781" customHeight="1">
      <ns0:c r="A82" s="2" t="s">
        <ns0:v>17</ns0:v>
      </ns0:c>
      <ns0:c r="B82" s="4">
        <ns0:v>77</ns0:v>
      </ns0:c>
      <ns0:c r="C82" s="2" t="s">
        <ns0:v>468</ns0:v>
      </ns0:c>
      <ns0:c r="D82" s="6" t="s">
        <ns0:v>2054</ns0:v>
      </ns0:c>
      <ns0:c r="E82" s="6" t="s">
        <ns0:v>2029</ns0:v>
      </ns0:c>
      <ns0:c r="F82" s="6" t="s">
        <ns0:v>2063</ns0:v>
      </ns0:c>
      <ns0:c r="G82" s="9" t="s">
        <ns0:v>2031</ns0:v>
      </ns0:c>
      <ns0:c r="H82" s="9" t="s">
        <ns0:v>2029</ns0:v>
      </ns0:c>
      <ns0:c r="I82" s="2" t="s">
        <ns0:v>2297</ns0:v>
      </ns0:c>
      <ns0:c r="J82" s="2" t="s">
        <ns0:v>2298</ns0:v>
      </ns0:c>
      <ns0:c r="K82" s="2" t="s">
        <ns0:v>2299</ns0:v>
      </ns0:c>
      <ns0:c r="L82" s="2" t="s">
        <ns0:v>2035</ns0:v>
      </ns0:c>
      <ns0:c r="M82" s="5" t="s">
        <ns0:v>470</ns0:v>
      </ns0:c>
      <ns0:c r="N82" s="7" t="s">
        <ns0:v>471</ns0:v>
      </ns0:c>
      <ns0:c r="O82" s="7" t="s">
        <ns0:v>473</ns0:v>
      </ns0:c>
      <ns0:c r="P82" s="7" t="s">
        <ns0:v>2036</ns0:v>
      </ns0:c>
      <ns0:c r="Q82" s="7" t="s">
        <ns0:v>2037</ns0:v>
      </ns0:c>
      <ns0:c r="R82" s="7" t="s">
        <ns0:v>1812</ns0:v>
      </ns0:c>
      <ns0:c r="S82" s="70" t="str">
        <ns0:v>探索配信×仲間づくり×引っ込み思案のオタク少女×反骨精神のあるギャル集団</ns0:v>
      </ns0:c>
      <ns0:c r="T82" s="69" t="str">
        <ns0:v>引っ込み思案でオタクと明記。</ns0:v>
      </ns0:c>
      <ns0:c r="U82" s="69" t="str">
        <ns0:v>ギャルたちはスクールカースト上位で反骨精神がある。</ns0:v>
      </ns0:c>
      <ns0:c r="V82" s="69" t="str">
        <ns0:v>教室では接点の薄い性格・立場の少女たちが、共通の探索活動で組む。</ns0:v>
      </ns0:c>
      <ns0:c r="W82" s="69" t="str">
        <ns0:v>異なるタイプが仲間になる親しみと協働への期待。</ns0:v>
      </ns0:c>
      <ns0:c r="X82" s="69" t="str">
        <ns0:v>交流から配信パーティへ。各人の役割の詳細は未確認。</ns0:v>
      </ns0:c>
      <ns0:c r="Y82" s="71" t="str">
        <ns0:v>性格は紹介文とキャッチ。ヤベーヤツの具体的内容はタグだけでは不明。</ns0:v>
      </ns0:c>
    </ns0:row>
    <ns0:row r="83" ht="64.05000305175781" customHeight="1">
      <ns0:c r="A83" s="2" t="s">
        <ns0:v>17</ns0:v>
      </ns0:c>
      <ns0:c r="B83" s="4">
        <ns0:v>78</ns0:v>
      </ns0:c>
      <ns0:c r="C83" s="2" t="s">
        <ns0:v>475</ns0:v>
      </ns0:c>
      <ns0:c r="D83" s="6" t="s">
        <ns0:v>2050</ns0:v>
      </ns0:c>
      <ns0:c r="E83" s="6" t="s">
        <ns0:v>2044</ns0:v>
      </ns0:c>
      <ns0:c r="F83" s="6"/>
      <ns0:c r="G83" s="2" t="s">
        <ns0:v>2040</ns0:v>
      </ns0:c>
      <ns0:c r="H83" s="2"/>
      <ns0:c r="I83" s="2" t="s">
        <ns0:v>2300</ns0:v>
      </ns0:c>
      <ns0:c r="J83" s="2" t="s">
        <ns0:v>2301</ns0:v>
      </ns0:c>
      <ns0:c r="K83" s="2" t="s">
        <ns0:v>2302</ns0:v>
      </ns0:c>
      <ns0:c r="L83" s="2" t="s">
        <ns0:v>2035</ns0:v>
      </ns0:c>
      <ns0:c r="M83" s="5" t="s">
        <ns0:v>476</ns0:v>
      </ns0:c>
      <ns0:c r="N83" s="7" t="s">
        <ns0:v>477</ns0:v>
      </ns0:c>
      <ns0:c r="O83" s="7" t="s">
        <ns0:v>479</ns0:v>
      </ns0:c>
      <ns0:c r="P83" s="7" t="s">
        <ns0:v>2036</ns0:v>
      </ns0:c>
      <ns0:c r="Q83" s="7" t="s">
        <ns0:v>2037</ns0:v>
      </ns0:c>
      <ns0:c r="R83" s="7" t="s">
        <ns0:v>1890</ns0:v>
      </ns0:c>
      <ns0:c r="S83" s="73" t="str">
        <ns0:v>救助×配信映像×人外×状況に応じた姿の変化×視聴者だけに見える援助者</ns0:v>
      </ns0:c>
      <ns0:c r="T83" s="72" t="str">
        <ns0:v>困っている探索者を助ける行動。内面は未確認。</ns0:v>
      </ns0:c>
      <ns0:c r="U83" s="72" t="str">
        <ns0:v>配信者は姿を見られず、視聴者だけが目撃する。</ns0:v>
      </ns0:c>
      <ns0:c r="V83" s="72" t="str">
        <ns0:v>救われる当人より見ている読者側が援助の正体に近い位置に置かれる。</ns0:v>
      </ns0:c>
      <ns0:c r="W83" s="72" t="str">
        <ns0:v>画面の端の出現を待つ楽しみと不可思議な善意への関心。</ns0:v>
      </ns0:c>
      <ns0:c r="X83" s="72" t="str">
        <ns0:v>状況ごとの変身と救助を提示。人格の開示は未確認。</ns0:v>
      </ns0:c>
      <ns0:c r="Y83" s="74" t="str">
        <ns0:v>不可視の範囲と治療・武装の変化が根拠。寡黙な性格とは断定しない。</ns0:v>
      </ns0:c>
    </ns0:row>
    <ns0:row r="84" ht="64.05000305175781" customHeight="1">
      <ns0:c r="A84" s="2" t="s">
        <ns0:v>17</ns0:v>
      </ns0:c>
      <ns0:c r="B84" s="4">
        <ns0:v>79</ns0:v>
      </ns0:c>
      <ns0:c r="C84" s="2" t="s">
        <ns0:v>480</ns0:v>
      </ns0:c>
      <ns0:c r="D84" s="6" t="s">
        <ns0:v>2044</ns0:v>
      </ns0:c>
      <ns0:c r="E84" s="6" t="s">
        <ns0:v>2082</ns0:v>
      </ns0:c>
      <ns0:c r="F84" s="6" t="s">
        <ns0:v>2151</ns0:v>
      </ns0:c>
      <ns0:c r="G84" s="2" t="s">
        <ns0:v>2040</ns0:v>
      </ns0:c>
      <ns0:c r="H84" s="2"/>
      <ns0:c r="I84" s="2" t="s">
        <ns0:v>2303</ns0:v>
      </ns0:c>
      <ns0:c r="J84" s="2" t="s">
        <ns0:v>2304</ns0:v>
      </ns0:c>
      <ns0:c r="K84" s="2" t="s">
        <ns0:v>2305</ns0:v>
      </ns0:c>
      <ns0:c r="L84" s="2" t="s">
        <ns0:v>2035</ns0:v>
      </ns0:c>
      <ns0:c r="M84" s="5" t="s">
        <ns0:v>482</ns0:v>
      </ns0:c>
      <ns0:c r="N84" s="7" t="s">
        <ns0:v>483</ns0:v>
      </ns0:c>
      <ns0:c r="O84" s="7" t="s">
        <ns0:v>485</ns0:v>
      </ns0:c>
      <ns0:c r="P84" s="7" t="s">
        <ns0:v>2036</ns0:v>
      </ns0:c>
      <ns0:c r="Q84" s="7" t="s">
        <ns0:v>2037</ns0:v>
      </ns0:c>
      <ns0:c r="R84" s="7" t="s">
        <ns0:v>1846</ns0:v>
      </ns0:c>
      <ns0:c r="S84" s="70" t="str">
        <ns0:v>探索無双×魔剣×食事×生意気で食欲優先の少女の相棒×追放された主人公</ns0:v>
      </ns0:c>
      <ns0:c r="T84" s="69" t="str">
        <ns0:v>追放後に相棒と攻略する。性格未確認。</ns0:v>
      </ns0:c>
      <ns0:c r="U84" s="69" t="str">
        <ns0:v>魔剣の中身は食事にしか興味がない生意気な少女。</ns0:v>
      </ns0:c>
      <ns0:c r="V84" s="69" t="str">
        <ns0:v>最強の力を求める契約が、身近な食欲を満たす世話と掛け合いになる。</ns0:v>
      </ns0:c>
      <ns0:c r="W84" s="69" t="str">
        <ns0:v>圧倒的な強さと世俗的な相棒の可愛さ・可笑しさ。</ns0:v>
      </ns0:c>
      <ns0:c r="X84" s="69" t="str">
        <ns0:v>攻略と食事の組み合わせは明記。関係の変化は未確認。</ns0:v>
      </ns0:c>
      <ns0:c r="Y84" s="71" t="str">
        <ns0:v>相棒の食欲と性格を紹介文で確認。</ns0:v>
      </ns0:c>
    </ns0:row>
    <ns0:row r="85" ht="64.05000305175781" customHeight="1">
      <ns0:c r="A85" s="2" t="s">
        <ns0:v>17</ns0:v>
      </ns0:c>
      <ns0:c r="B85" s="4">
        <ns0:v>80</ns0:v>
      </ns0:c>
      <ns0:c r="C85" s="2" t="s">
        <ns0:v>486</ns0:v>
      </ns0:c>
      <ns0:c r="D85" s="6" t="s">
        <ns0:v>2038</ns0:v>
      </ns0:c>
      <ns0:c r="E85" s="6" t="s">
        <ns0:v>2113</ns0:v>
      </ns0:c>
      <ns0:c r="F85" s="6" t="s">
        <ns0:v>2284</ns0:v>
      </ns0:c>
      <ns0:c r="G85" s="2" t="s">
        <ns0:v>2040</ns0:v>
      </ns0:c>
      <ns0:c r="H85" s="2"/>
      <ns0:c r="I85" s="2" t="s">
        <ns0:v>2306</ns0:v>
      </ns0:c>
      <ns0:c r="J85" s="2" t="s">
        <ns0:v>2307</ns0:v>
      </ns0:c>
      <ns0:c r="K85" s="2" t="s">
        <ns0:v>2308</ns0:v>
      </ns0:c>
      <ns0:c r="L85" s="2" t="s">
        <ns0:v>2035</ns0:v>
      </ns0:c>
      <ns0:c r="M85" s="5" t="s">
        <ns0:v>487</ns0:v>
      </ns0:c>
      <ns0:c r="N85" s="7" t="s">
        <ns0:v>488</ns0:v>
      </ns0:c>
      <ns0:c r="O85" s="7" t="s">
        <ns0:v>490</ns0:v>
      </ns0:c>
      <ns0:c r="P85" s="7" t="s">
        <ns0:v>2036</ns0:v>
      </ns0:c>
      <ns0:c r="Q85" s="7" t="s">
        <ns0:v>2037</ns0:v>
      </ns0:c>
      <ns0:c r="R85" s="7" t="s">
        <ns0:v>1901</ns0:v>
      </ns0:c>
      <ns0:c r="S85" s="73" t="str">
        <ns0:v>生存×家族保護×ドロップ収集×運への投資×自分の強さより家族の必需品を選ぶ父</ns0:v>
      </ns0:c>
      <ns0:c r="T85" s="72" t="str">
        <ns0:v>妻子の必要を優先して成長先を選ぶ。</ns0:v>
      </ns0:c>
      <ns0:c r="U85" s="72" t="str">
        <ns0:v>妻と一歳の娘の性格は未確認。</ns0:v>
      </ns0:c>
      <ns0:c r="V85" s="72" t="str">
        <ns0:v>数値配分の判断が、食料・薬・おむつを持ち帰る親の責任に直結する。</ns0:v>
      </ns0:c>
      <ns0:c r="W85" s="72" t="str">
        <ns0:v>狙った品が手に入る達成と家族を養う安心。</ns0:v>
      </ns0:c>
      <ns0:c r="X85" s="72" t="str">
        <ns0:v>家族の不足に応じて狩る対象を変える反復が明記。</ns0:v>
      </ns0:c>
      <ns0:c r="Y85" s="74" t="str">
        <ns0:v>運選択の理由と物資ごとの探索行動が根拠。</ns0:v>
      </ns0:c>
    </ns0:row>
    <ns0:row r="86" ht="64.05000305175781" customHeight="1">
      <ns0:c r="A86" s="2" t="s">
        <ns0:v>17</ns0:v>
      </ns0:c>
      <ns0:c r="B86" s="4">
        <ns0:v>81</ns0:v>
      </ns0:c>
      <ns0:c r="C86" s="2" t="s">
        <ns0:v>491</ns0:v>
      </ns0:c>
      <ns0:c r="D86" s="6" t="s">
        <ns0:v>2030</ns0:v>
      </ns0:c>
      <ns0:c r="E86" s="6" t="s">
        <ns0:v>2044</ns0:v>
      </ns0:c>
      <ns0:c r="F86" s="6" t="s">
        <ns0:v>2029</ns0:v>
      </ns0:c>
      <ns0:c r="G86" s="9" t="s">
        <ns0:v>2031</ns0:v>
      </ns0:c>
      <ns0:c r="H86" s="9" t="s">
        <ns0:v>2029</ns0:v>
      </ns0:c>
      <ns0:c r="I86" s="2" t="s">
        <ns0:v>2309</ns0:v>
      </ns0:c>
      <ns0:c r="J86" s="2" t="s">
        <ns0:v>2310</ns0:v>
      </ns0:c>
      <ns0:c r="K86" s="2" t="s">
        <ns0:v>2311</ns0:v>
      </ns0:c>
      <ns0:c r="L86" s="2" t="s">
        <ns0:v>2035</ns0:v>
      </ns0:c>
      <ns0:c r="M86" s="5" t="s">
        <ns0:v>493</ns0:v>
      </ns0:c>
      <ns0:c r="N86" s="7" t="s">
        <ns0:v>494</ns0:v>
      </ns0:c>
      <ns0:c r="O86" s="7" t="s">
        <ns0:v>496</ns0:v>
      </ns0:c>
      <ns0:c r="P86" s="7" t="s">
        <ns0:v>2036</ns0:v>
      </ns0:c>
      <ns0:c r="Q86" s="7" t="s">
        <ns0:v>2037</ns0:v>
      </ns0:c>
      <ns0:c r="R86" s="7" t="s">
        <ns0:v>1835</ns0:v>
      </ns0:c>
      <ns0:c r="S86" s="70" t="str">
        <ns0:v>探索配信×能力吸収×外れ評価の逆転×底辺からの成長×主人公の性格未確認</ns0:v>
      </ns0:c>
      <ns0:c r="T86" s="69" t="str">
        <ns0:v>生計のため探索を続ける。固有の性格は未確認。</ns0:v>
      </ns0:c>
      <ns0:c r="U86" s="69" t="str">
        <ns0:v>主要な相手役の性格は未確認。</ns0:v>
      </ns0:c>
      <ns0:c r="V86" s="69" t="str">
        <ns0:v>誰でもできる成長という説明の陰に、他者にはない特性獲得が隠れている。</ns0:v>
      </ns0:c>
      <ns0:c r="W86" s="69" t="str">
        <ns0:v>能力の真価が分かる発見と配信での評価上昇。</ns0:v>
      </ns0:c>
      <ns0:c r="X86" s="69" t="str">
        <ns0:v>倒す相手ごとの特性収集と注目の拡大を予告。</ns0:v>
      </ns0:c>
      <ns0:c r="Y86" s="71" t="str">
        <ns0:v>吸収の仕組みは紹介文。性格由来の追加の捻りは情報不足。</ns0:v>
      </ns0:c>
    </ns0:row>
    <ns0:row r="87" ht="64.05000305175781" customHeight="1">
      <ns0:c r="A87" s="2" t="s">
        <ns0:v>17</ns0:v>
      </ns0:c>
      <ns0:c r="B87" s="4">
        <ns0:v>82</ns0:v>
      </ns0:c>
      <ns0:c r="C87" s="2" t="s">
        <ns0:v>497</ns0:v>
      </ns0:c>
      <ns0:c r="D87" s="6" t="s">
        <ns0:v>2044</ns0:v>
      </ns0:c>
      <ns0:c r="E87" s="6" t="s">
        <ns0:v>2050</ns0:v>
      </ns0:c>
      <ns0:c r="F87" s="6"/>
      <ns0:c r="G87" s="2" t="s">
        <ns0:v>2040</ns0:v>
      </ns0:c>
      <ns0:c r="H87" s="2"/>
      <ns0:c r="I87" s="2" t="s">
        <ns0:v>2312</ns0:v>
      </ns0:c>
      <ns0:c r="J87" s="2" t="s">
        <ns0:v>2313</ns0:v>
      </ns0:c>
      <ns0:c r="K87" s="2" t="s">
        <ns0:v>2314</ns0:v>
      </ns0:c>
      <ns0:c r="L87" s="2" t="s">
        <ns0:v>2035</ns0:v>
      </ns0:c>
      <ns0:c r="M87" s="5" t="s">
        <ns0:v>499</ns0:v>
      </ns0:c>
      <ns0:c r="N87" s="7" t="s">
        <ns0:v>500</ns0:v>
      </ns0:c>
      <ns0:c r="O87" s="7" t="s">
        <ns0:v>502</ns0:v>
      </ns0:c>
      <ns0:c r="P87" s="7" t="s">
        <ns0:v>2036</ns0:v>
      </ns0:c>
      <ns0:c r="Q87" s="7" t="s">
        <ns0:v>2037</ns0:v>
      </ns0:c>
      <ns0:c r="R87" s="7" t="s">
        <ns0:v>1808</ns0:v>
      </ns0:c>
      <ns0:c r="S87" s="73" t="str">
        <ns0:v>怪異対処×救助×塩×怖がりながら叫んで動く少年×ホラーとコメディ</ns0:v>
      </ns0:c>
      <ns0:c r="T87" s="72" t="str">
        <ns0:v>恐怖に震えつつ、怒鳴って塩を撒く。知識源はホラー漫画。</ns0:v>
      </ns0:c>
      <ns0:c r="U87" s="72" t="str">
        <ns0:v>少女の性格は未確認。ヤンデレの対象人物も未確認。</ns0:v>
      </ns0:c>
      <ns0:c r="V87" s="72" t="str">
        <ns0:v>恐怖を知的に解説するより、大量の塩と勢いで抗う振る舞いが怖さを笑いに接続する。</ns0:v>
      </ns0:c>
      <ns0:c r="W87" s="72" t="str">
        <ns0:v>怖さを共有しながら反撃する解放感。</ns0:v>
      </ns0:c>
      <ns0:c r="X87" s="72" t="str">
        <ns0:v>怪異への塩撒きの反復を紹介。関係の変化は未確認。</ns0:v>
      </ns0:c>
      <ns0:c r="Y87" s="74" t="str">
        <ns0:v>恐怖と行動は紹介文。救助はキャッチ、ヤンデレはタグのみ。</ns0:v>
      </ns0:c>
    </ns0:row>
    <ns0:row r="88" ht="64.05000305175781" customHeight="1">
      <ns0:c r="A88" s="2" t="s">
        <ns0:v>17</ns0:v>
      </ns0:c>
      <ns0:c r="B88" s="4">
        <ns0:v>83</ns0:v>
      </ns0:c>
      <ns0:c r="C88" s="2" t="s">
        <ns0:v>503</ns0:v>
      </ns0:c>
      <ns0:c r="D88" s="6" t="s">
        <ns0:v>2028</ns0:v>
      </ns0:c>
      <ns0:c r="E88" s="6" t="s">
        <ns0:v>2101</ns0:v>
      </ns0:c>
      <ns0:c r="F88" s="6" t="s">
        <ns0:v>2151</ns0:v>
      </ns0:c>
      <ns0:c r="G88" s="2" t="s">
        <ns0:v>2040</ns0:v>
      </ns0:c>
      <ns0:c r="H88" s="2"/>
      <ns0:c r="I88" s="2" t="s">
        <ns0:v>2315</ns0:v>
      </ns0:c>
      <ns0:c r="J88" s="2" t="s">
        <ns0:v>2316</ns0:v>
      </ns0:c>
      <ns0:c r="K88" s="2" t="s">
        <ns0:v>2317</ns0:v>
      </ns0:c>
      <ns0:c r="L88" s="2" t="s">
        <ns0:v>2035</ns0:v>
      </ns0:c>
      <ns0:c r="M88" s="5" t="s">
        <ns0:v>505</ns0:v>
      </ns0:c>
      <ns0:c r="N88" s="7" t="s">
        <ns0:v>506</ns0:v>
      </ns0:c>
      <ns0:c r="O88" s="7" t="s">
        <ns0:v>508</ns0:v>
      </ns0:c>
      <ns0:c r="P88" s="7" t="s">
        <ns0:v>2036</ns0:v>
      </ns0:c>
      <ns0:c r="Q88" s="7" t="s">
        <ns0:v>2037</ns0:v>
      </ns0:c>
      <ns0:c r="R88" s="7" t="s">
        <ns0:v>1904</ns0:v>
      </ns0:c>
      <ns0:c r="S88" s="70" t="str">
        <ns0:v>育成×合体×競争×ゲーム知識×遺産争い×積極的に動く気のなかった孫</ns0:v>
      </ns0:c>
      <ns0:c r="T88" s="69" t="str">
        <ns0:v>転生先に気づいても特別な行動を望まなかった。</ns0:v>
      </ns0:c>
      <ns0:c r="U88" s="69" t="str">
        <ns0:v>祖父は実力競争を促す遺言を残す。詳細な性格未確認。</ns0:v>
      </ns0:c>
      <ns0:c r="V88" s="69" t="str">
        <ns0:v>知識があっても動かなかった人物に、遺産条件が頂点を目指す理由を与える。</ns0:v>
      </ns0:c>
      <ns0:c r="W88" s="69" t="str">
        <ns0:v>育成・編成の手応えと段階的な勝利。</ns0:v>
      </ns0:c>
      <ns0:c r="X88" s="69" t="str">
        <ns0:v>育成・合体・大会・攻略・認定戦という複数の試し場を明記。</ns0:v>
      </ns0:c>
      <ns0:c r="Y88" s="71" t="str">
        <ns0:v>消極的な出発点と遺言の条件が根拠。</ns0:v>
      </ns0:c>
    </ns0:row>
    <ns0:row r="89" ht="64.05000305175781" customHeight="1">
      <ns0:c r="A89" s="2" t="s">
        <ns0:v>17</ns0:v>
      </ns0:c>
      <ns0:c r="B89" s="4">
        <ns0:v>84</ns0:v>
      </ns0:c>
      <ns0:c r="C89" s="2" t="s">
        <ns0:v>509</ns0:v>
      </ns0:c>
      <ns0:c r="D89" s="6" t="s">
        <ns0:v>2063</ns0:v>
      </ns0:c>
      <ns0:c r="E89" s="6"/>
      <ns0:c r="F89" s="6"/>
      <ns0:c r="G89" s="2" t="s">
        <ns0:v>2040</ns0:v>
      </ns0:c>
      <ns0:c r="H89" s="2"/>
      <ns0:c r="I89" s="2" t="s">
        <ns0:v>2318</ns0:v>
      </ns0:c>
      <ns0:c r="J89" s="2" t="s">
        <ns0:v>2319</ns0:v>
      </ns0:c>
      <ns0:c r="K89" s="2" t="s">
        <ns0:v>2320</ns0:v>
      </ns0:c>
      <ns0:c r="L89" s="2" t="s">
        <ns0:v>2035</ns0:v>
      </ns0:c>
      <ns0:c r="M89" s="5" t="s">
        <ns0:v>511</ns0:v>
      </ns0:c>
      <ns0:c r="N89" s="7" t="s">
        <ns0:v>512</ns0:v>
      </ns0:c>
      <ns0:c r="O89" s="7" t="s">
        <ns0:v>514</ns0:v>
      </ns0:c>
      <ns0:c r="P89" s="7" t="s">
        <ns0:v>2036</ns0:v>
      </ns0:c>
      <ns0:c r="Q89" s="7" t="s">
        <ns0:v>2037</ns0:v>
      </ns0:c>
      <ns0:c r="R89" s="7" t="s">
        <ns0:v>1826</ns0:v>
      </ns0:c>
      <ns0:c r="S89" s="73" t="str">
        <ns0:v>生活づくり×ガチャ×ハーレム願望×癒されたい会社員×子供・老人・男性が集まる現実</ns0:v>
      </ns0:c>
      <ns0:c r="T89" s="72" t="str">
        <ns0:v>可愛いメイドに癒される暮らしを期待する。</ns0:v>
      </ns0:c>
      <ns0:c r="U89" s="72" t="str">
        <ns0:v>集まるのは子供・老人・男性。性格は未確認。</ns0:v>
      </ns0:c>
      <ns0:c r="V89" s="72" t="str">
        <ns0:v>欲しかった美少女中心の暮らしと実際の住人構成が外れ、共同生活の笑いになる。</ns0:v>
      </ns0:c>
      <ns0:c r="W89" s="72" t="str">
        <ns0:v>期待外れの可笑しさと賑やかな日常。</ns0:v>
      </ns0:c>
      <ns0:c r="X89" s="72" t="str">
        <ns0:v>日常コメディと明記。住人別の役割や成長は未確認。</ns0:v>
      </ns0:c>
      <ns0:c r="Y89" s="74" t="str">
        <ns0:v>人口構成は性格ではない。ポンコツの対象はタグだけでは不明。</ns0:v>
      </ns0:c>
    </ns0:row>
    <ns0:row r="90" ht="64.05000305175781" customHeight="1">
      <ns0:c r="A90" s="2" t="s">
        <ns0:v>17</ns0:v>
      </ns0:c>
      <ns0:c r="B90" s="4">
        <ns0:v>85</ns0:v>
      </ns0:c>
      <ns0:c r="C90" s="2" t="s">
        <ns0:v>515</ns0:v>
      </ns0:c>
      <ns0:c r="D90" s="6" t="s">
        <ns0:v>2063</ns0:v>
      </ns0:c>
      <ns0:c r="E90" s="6" t="s">
        <ns0:v>2321</ns0:v>
      </ns0:c>
      <ns0:c r="F90" s="6"/>
      <ns0:c r="G90" s="2" t="s">
        <ns0:v>2040</ns0:v>
      </ns0:c>
      <ns0:c r="H90" s="2"/>
      <ns0:c r="I90" s="2" t="s">
        <ns0:v>2322</ns0:v>
      </ns0:c>
      <ns0:c r="J90" s="2" t="s">
        <ns0:v>2323</ns0:v>
      </ns0:c>
      <ns0:c r="K90" s="2" t="s">
        <ns0:v>2324</ns0:v>
      </ns0:c>
      <ns0:c r="L90" s="2" t="s">
        <ns0:v>2035</ns0:v>
      </ns0:c>
      <ns0:c r="M90" s="5" t="s">
        <ns0:v>516</ns0:v>
      </ns0:c>
      <ns0:c r="N90" s="7" t="s">
        <ns0:v>517</ns0:v>
      </ns0:c>
      <ns0:c r="O90" s="7" t="s">
        <ns0:v>519</ns0:v>
      </ns0:c>
      <ns0:c r="P90" s="7" t="s">
        <ns0:v>2036</ns0:v>
      </ns0:c>
      <ns0:c r="Q90" s="7" t="s">
        <ns0:v>2037</ns0:v>
      </ns0:c>
      <ns0:c r="R90" s="7" t="s">
        <ns0:v>1867</ns0:v>
      </ns0:c>
      <ns0:c r="S90" s="70" t="str">
        <ns0:v>生活再建×異世界の伴侶同伴×中年の身体への帰還×暴君だった主人公×すぐ敵を殺す女性たち</ns0:v>
      </ns0:c>
      <ns0:c r="T90" s="69" t="str">
        <ns0:v>異世界では理不尽な暴君。帰還後は生活費や対応に困惑する。</ns0:v>
      </ns0:c>
      <ns0:c r="U90" s="69" t="str">
        <ns0:v>伴侶たちは現代に疎く、すぐ敵を殺す傾向が明記。</ns0:v>
      </ns0:c>
      <ns0:c r="V90" s="69" t="str">
        <ns0:v>異世界で通用した強引さを持つ一団が、現代の暮らしと扶養に向き合う。</ns0:v>
      </ns0:c>
      <ns0:c r="W90" s="69" t="str">
        <ns0:v>文化差の可笑しさと強者たちの生活上の不慣れ。</ns0:v>
      </ns0:c>
      <ns0:c r="X90" s="69" t="str">
        <ns0:v>現代で共に生きる方針を提示。適応の詳細は未確認。</ns0:v>
      </ns0:c>
      <ns0:c r="Y90" s="71" t="str">
        <ns0:v>主人公と伴侶の傾向を紹介文で確認。</ns0:v>
      </ns0:c>
    </ns0:row>
    <ns0:row r="91" ht="67.95" customHeight="1">
      <ns0:c r="A91" s="2" t="s">
        <ns0:v>17</ns0:v>
      </ns0:c>
      <ns0:c r="B91" s="4">
        <ns0:v>86</ns0:v>
      </ns0:c>
      <ns0:c r="C91" s="2" t="s">
        <ns0:v>520</ns0:v>
      </ns0:c>
      <ns0:c r="D91" s="6" t="s">
        <ns0:v>2044</ns0:v>
      </ns0:c>
      <ns0:c r="E91" s="6" t="s">
        <ns0:v>2054</ns0:v>
      </ns0:c>
      <ns0:c r="F91" s="6"/>
      <ns0:c r="G91" s="2" t="s">
        <ns0:v>2040</ns0:v>
      </ns0:c>
      <ns0:c r="H91" s="2"/>
      <ns0:c r="I91" s="2" t="s">
        <ns0:v>2325</ns0:v>
      </ns0:c>
      <ns0:c r="J91" s="2" t="s">
        <ns0:v>2326</ns0:v>
      </ns0:c>
      <ns0:c r="K91" s="2" t="s">
        <ns0:v>2327</ns0:v>
      </ns0:c>
      <ns0:c r="L91" s="2" t="s">
        <ns0:v>2035</ns0:v>
      </ns0:c>
      <ns0:c r="M91" s="5" t="s">
        <ns0:v>522</ns0:v>
      </ns0:c>
      <ns0:c r="N91" s="7" t="s">
        <ns0:v>523</ns0:v>
      </ns0:c>
      <ns0:c r="O91" s="7" t="s">
        <ns0:v>525</ns0:v>
      </ns0:c>
      <ns0:c r="P91" s="7" t="s">
        <ns0:v>2036</ns0:v>
      </ns0:c>
      <ns0:c r="Q91" s="7" t="s">
        <ns0:v>2037</ns0:v>
      </ns0:c>
      <ns0:c r="R91" s="7" t="s">
        <ns0:v>1861</ns0:v>
      </ns0:c>
      <ns0:c r="S91" s="73" t="str">
        <ns0:v>探索×異世界への再渡航×剣と魔法の無双×称賛より責任を優先する中年×科学装備の現代人</ns0:v>
      </ns0:c>
      <ns0:c r="T91" s="72" t="str">
        <ns0:v>日本で称賛されるより、仲間のもとへ戻り戦争を終えたい。</ns0:v>
      </ns0:c>
      <ns0:c r="U91" s="72" t="str">
        <ns0:v>待つ仲間・現代人の個別性格は未確認。</ns0:v>
      </ns0:c>
      <ns0:c r="V91" s="72" t="str">
        <ns0:v>古く見える戦い方が最新装備を上回る一方、本人の目的は日本での成功の外にある。</ns0:v>
      </ns0:c>
      <ns0:c r="W91" s="72" t="str">
        <ns0:v>熟練の頼もしさと果たすべき約束への期待。</ns0:v>
      </ns0:c>
      <ns0:c r="X91" s="72" t="str">
        <ns0:v>再転移の追求が紹介される。達成手段の細部は未確認。</ns0:v>
      </ns0:c>
      <ns0:c r="Y91" s="74" t="str">
        <ns0:v>ビニール傘の実演と帰還目的が根拠。</ns0:v>
      </ns0:c>
    </ns0:row>
    <ns0:row r="92" ht="64.05000305175781" customHeight="1">
      <ns0:c r="A92" s="2" t="s">
        <ns0:v>17</ns0:v>
      </ns0:c>
      <ns0:c r="B92" s="4">
        <ns0:v>87</ns0:v>
      </ns0:c>
      <ns0:c r="C92" s="2" t="s">
        <ns0:v>526</ns0:v>
      </ns0:c>
      <ns0:c r="D92" s="6" t="s">
        <ns0:v>2030</ns0:v>
      </ns0:c>
      <ns0:c r="E92" s="6" t="s">
        <ns0:v>2077</ns0:v>
      </ns0:c>
      <ns0:c r="F92" s="6" t="s">
        <ns0:v>2050</ns0:v>
      </ns0:c>
      <ns0:c r="G92" s="9" t="s">
        <ns0:v>2031</ns0:v>
      </ns0:c>
      <ns0:c r="H92" s="9" t="s">
        <ns0:v>2077</ns0:v>
      </ns0:c>
      <ns0:c r="I92" s="2" t="s">
        <ns0:v>2328</ns0:v>
      </ns0:c>
      <ns0:c r="J92" s="2" t="s">
        <ns0:v>2329</ns0:v>
      </ns0:c>
      <ns0:c r="K92" s="2" t="s">
        <ns0:v>2330</ns0:v>
      </ns0:c>
      <ns0:c r="L92" s="2" t="s">
        <ns0:v>2035</ns0:v>
      </ns0:c>
      <ns0:c r="M92" s="5" t="s">
        <ns0:v>528</ns0:v>
      </ns0:c>
      <ns0:c r="N92" s="7" t="s">
        <ns0:v>529</ns0:v>
      </ns0:c>
      <ns0:c r="O92" s="7" t="s">
        <ns0:v>531</ns0:v>
      </ns0:c>
      <ns0:c r="P92" s="7" t="s">
        <ns0:v>2036</ns0:v>
      </ns0:c>
      <ns0:c r="Q92" s="7" t="s">
        <ns0:v>2037</ns0:v>
      </ns0:c>
      <ns0:c r="R92" s="7" t="s">
        <ns0:v>1874</ns0:v>
      </ns0:c>
      <ns0:c r="S92" s="70" t="str">
        <ns0:v>救助×配信事故×裏方の無双×仕事を静かに続けたいカメラマン×専属化を望む救助相手</ns0:v>
      </ns0:c>
      <ns0:c r="T92" s="69" t="str">
        <ns0:v>戦う必要がなければ戦わず、機材と仕事を気にかける。</ns0:v>
      </ns0:c>
      <ns0:c r="U92" s="69" t="str">
        <ns0:v>救助相手は専属を希望。幼馴染は実力を既知、ギルド側は勧誘。</ns0:v>
      </ns0:c>
      <ns0:c r="V92" s="69" t="str">
        <ns0:v>撮る側でいたい本人が、救助によって皆に撮られ求められる存在になる。</ns0:v>
      </ns0:c>
      <ns0:c r="W92" s="69" t="str">
        <ns0:v>裏方の再評価と無造作な強さ、周囲の取り合いへの期待。</ns0:v>
      </ns0:c>
      <ns0:c r="X92" s="69" t="str">
        <ns0:v>配信・公式記録を通じて実力が繰り返し証明される。</ns0:v>
      </ns0:c>
      <ns0:c r="Y92" s="71" t="str">
        <ns0:v>相手の関係と行動は明記。専属希望を独占病理とはしない。</ns0:v>
      </ns0:c>
    </ns0:row>
    <ns0:row r="93" ht="64.05000305175781" customHeight="1">
      <ns0:c r="A93" s="2" t="s">
        <ns0:v>17</ns0:v>
      </ns0:c>
      <ns0:c r="B93" s="4">
        <ns0:v>88</ns0:v>
      </ns0:c>
      <ns0:c r="C93" s="2" t="s">
        <ns0:v>532</ns0:v>
      </ns0:c>
      <ns0:c r="D93" s="6" t="s">
        <ns0:v>2038</ns0:v>
      </ns0:c>
      <ns0:c r="E93" s="6" t="s">
        <ns0:v>2050</ns0:v>
      </ns0:c>
      <ns0:c r="F93" s="6" t="s">
        <ns0:v>2284</ns0:v>
      </ns0:c>
      <ns0:c r="G93" s="2" t="s">
        <ns0:v>2040</ns0:v>
      </ns0:c>
      <ns0:c r="H93" s="2"/>
      <ns0:c r="I93" s="2" t="s">
        <ns0:v>2331</ns0:v>
      </ns0:c>
      <ns0:c r="J93" s="2" t="s">
        <ns0:v>2332</ns0:v>
      </ns0:c>
      <ns0:c r="K93" s="2" t="s">
        <ns0:v>2333</ns0:v>
      </ns0:c>
      <ns0:c r="L93" s="2" t="s">
        <ns0:v>2035</ns0:v>
      </ns0:c>
      <ns0:c r="M93" s="5" t="s">
        <ns0:v>534</ns0:v>
      </ns0:c>
      <ns0:c r="N93" s="7" t="s">
        <ns0:v>535</ns0:v>
      </ns0:c>
      <ns0:c r="O93" s="7" t="s">
        <ns0:v>537</ns0:v>
      </ns0:c>
      <ns0:c r="P93" s="7" t="s">
        <ns0:v>2036</ns0:v>
      </ns0:c>
      <ns0:c r="Q93" s="7" t="s">
        <ns0:v>2037</ns0:v>
      </ns0:c>
      <ns0:c r="R93" s="7" t="s">
        <ns0:v>1827</ns0:v>
      </ns0:c>
      <ns0:c r="S93" s="73" t="str">
        <ns0:v>生存×拠点移住×元勇者の経験×快適に余生を過ごしたい中年×見捨てきれない身近な少女</ns0:v>
      </ns0:c>
      <ns0:c r="T93" s="72" t="str">
        <ns0:v>世界救済は望まないが、親しかった少女の安否は気にする。</ns0:v>
      </ns0:c>
      <ns0:c r="U93" s="72" t="str">
        <ns0:v>ギャルの少女は以前から主人公と親しく話す。細かな性格未確認。</ns0:v>
      </ns0:c>
      <ns0:c r="V93" s="72" t="str">
        <ns0:v>自分の快適さを優先したい人物が、身近な相手の救助で守る責任を増やす。</ns0:v>
      </ns0:c>
      <ns0:c r="W93" s="72" t="str">
        <ns0:v>生活を取り戻す満足と放っておけない関係への親近感。</ns0:v>
      </ns0:c>
      <ns0:c r="X93" s="72" t="str">
        <ns0:v>収集・廃村移住・同行者の保護を予告。</ns0:v>
      </ns0:c>
      <ns0:c r="Y93" s="74" t="str">
        <ns0:v>救助後の戸惑いが根拠。徹底した利己主義とも全人類救済とも違う。</ns0:v>
      </ns0:c>
    </ns0:row>
    <ns0:row r="94" ht="64.05000305175781" customHeight="1">
      <ns0:c r="A94" s="2" t="s">
        <ns0:v>17</ns0:v>
      </ns0:c>
      <ns0:c r="B94" s="4">
        <ns0:v>89</ns0:v>
      </ns0:c>
      <ns0:c r="C94" s="2" t="s">
        <ns0:v>538</ns0:v>
      </ns0:c>
      <ns0:c r="D94" s="6" t="s">
        <ns0:v>2050</ns0:v>
      </ns0:c>
      <ns0:c r="E94" s="6" t="s">
        <ns0:v>2102</ns0:v>
      </ns0:c>
      <ns0:c r="F94" s="6"/>
      <ns0:c r="G94" s="2" t="s">
        <ns0:v>2040</ns0:v>
      </ns0:c>
      <ns0:c r="H94" s="2"/>
      <ns0:c r="I94" s="2" t="s">
        <ns0:v>2334</ns0:v>
      </ns0:c>
      <ns0:c r="J94" s="2" t="s">
        <ns0:v>2335</ns0:v>
      </ns0:c>
      <ns0:c r="K94" s="2" t="s">
        <ns0:v>2336</ns0:v>
      </ns0:c>
      <ns0:c r="L94" s="2" t="s">
        <ns0:v>2035</ns0:v>
      </ns0:c>
      <ns0:c r="M94" s="5" t="s">
        <ns0:v>540</ns0:v>
      </ns0:c>
      <ns0:c r="N94" s="7" t="s">
        <ns0:v>541</ns0:v>
      </ns0:c>
      <ns0:c r="O94" s="7" t="s">
        <ns0:v>543</ns0:v>
      </ns0:c>
      <ns0:c r="P94" s="7" t="s">
        <ns0:v>2036</ns0:v>
      </ns0:c>
      <ns0:c r="Q94" s="7" t="s">
        <ns0:v>2037</ns0:v>
      </ns0:c>
      <ns0:c r="R94" s="7" t="s">
        <ns0:v>1862</ns0:v>
      </ns0:c>
      <ns0:c r="S94" s="70" t="str">
        <ns0:v>治療支援×探索×男女比逆転×貞操防衛×女性を助けたい男性ヒーラー</ns0:v>
      </ns0:c>
      <ns0:c r="T94" s="69" t="str">
        <ns0:v>女の子を助けたい一方、自分の貞操を守ろうとする。</ns0:v>
      </ns0:c>
      <ns0:c r="U94" s="69" t="str">
        <ns0:v>女性側の個別性格は未確認。</ns0:v>
      </ns0:c>
      <ns0:c r="V94" s="69" t="str">
        <ns0:v>守るため近づく行為に、自分が性的に迫られる側という緊張が重なる。</ns0:v>
      </ns0:c>
      <ns0:c r="W94" s="69" t="str">
        <ns0:v>支援で必要とされる喜びと役割逆転の可笑しさ。</ns0:v>
      </ns0:c>
      <ns0:c r="X94" s="69" t="str">
        <ns0:v>ヒーラー活動は明記。恋愛相手ごとの性格は未確認。</ns0:v>
      </ns0:c>
      <ns0:c r="Y94" s="71" t="str">
        <ns0:v>救助動機はキャッチ、貞操を守る方針は紹介文。</ns0:v>
      </ns0:c>
    </ns0:row>
    <ns0:row r="95" ht="64.05000305175781" customHeight="1">
      <ns0:c r="A95" s="2" t="s">
        <ns0:v>17</ns0:v>
      </ns0:c>
      <ns0:c r="B95" s="4">
        <ns0:v>90</ns0:v>
      </ns0:c>
      <ns0:c r="C95" s="2" t="s">
        <ns0:v>544</ns0:v>
      </ns0:c>
      <ns0:c r="D95" s="6" t="s">
        <ns0:v>2082</ns0:v>
      </ns0:c>
      <ns0:c r="E95" s="6" t="s">
        <ns0:v>2038</ns0:v>
      </ns0:c>
      <ns0:c r="F95" s="6" t="s">
        <ns0:v>2102</ns0:v>
      </ns0:c>
      <ns0:c r="G95" s="2" t="s">
        <ns0:v>2040</ns0:v>
      </ns0:c>
      <ns0:c r="H95" s="2"/>
      <ns0:c r="I95" s="2" t="s">
        <ns0:v>2337</ns0:v>
      </ns0:c>
      <ns0:c r="J95" s="2" t="s">
        <ns0:v>2338</ns0:v>
      </ns0:c>
      <ns0:c r="K95" s="2" t="s">
        <ns0:v>2339</ns0:v>
      </ns0:c>
      <ns0:c r="L95" s="2" t="s">
        <ns0:v>2035</ns0:v>
      </ns0:c>
      <ns0:c r="M95" s="5" t="s">
        <ns0:v>546</ns0:v>
      </ns0:c>
      <ns0:c r="N95" s="7" t="s">
        <ns0:v>547</ns0:v>
      </ns0:c>
      <ns0:c r="O95" s="7" t="s">
        <ns0:v>549</ns0:v>
      </ns0:c>
      <ns0:c r="P95" s="7" t="s">
        <ns0:v>2036</ns0:v>
      </ns0:c>
      <ns0:c r="Q95" s="7" t="s">
        <ns0:v>2037</ns0:v>
      </ns0:c>
      <ns0:c r="R95" s="7" t="s">
        <ns0:v>1816</ns0:v>
      </ns0:c>
      <ns0:c r="S95" s="73" t="str">
        <ns0:v>接客仕事×料理×人外ハーレム×美味しさに抗えない主人公×危険な女性客・店主</ns0:v>
      </ns0:c>
      <ns0:c r="T95" s="72" t="str">
        <ns0:v>危険でも料理が美味くて辞めがたい。契約にも縛られる。</ns0:v>
      </ns0:c>
      <ns0:c r="U95" s="72" t="str">
        <ns0:v>客と店主は危険。理想の清楚な女性も魔女。個別の危険性は未確認。</ns0:v>
      </ns0:c>
      <ns0:c r="V95" s="72" t="str">
        <ns0:v>危険な職場から離れたい気持ちと、美味しい食事や女性への魅力が衝突する。</ns0:v>
      </ns0:c>
      <ns0:c r="W95" s="72" t="str">
        <ns0:v>食と恋の魅力に負ける可笑しさ、危機の切り抜け。</ns0:v>
      </ns0:c>
      <ns0:c r="X95" s="72" t="str">
        <ns0:v>職場・休日の双方で魔女との関わりが続く。</ns0:v>
      </ns0:c>
      <ns0:c r="Y95" s="74" t="str">
        <ns0:v>危険性は紹介文の自己申告。全員ヤンデレとはしない。</ns0:v>
      </ns0:c>
    </ns0:row>
    <ns0:row r="96" ht="64.05000305175781" customHeight="1">
      <ns0:c r="A96" s="2" t="s">
        <ns0:v>17</ns0:v>
      </ns0:c>
      <ns0:c r="B96" s="4">
        <ns0:v>91</ns0:v>
      </ns0:c>
      <ns0:c r="C96" s="2" t="s">
        <ns0:v>550</ns0:v>
      </ns0:c>
      <ns0:c r="D96" s="6" t="s">
        <ns0:v>2077</ns0:v>
      </ns0:c>
      <ns0:c r="E96" s="6" t="s">
        <ns0:v>2284</ns0:v>
      </ns0:c>
      <ns0:c r="F96" s="6" t="s">
        <ns0:v>2138</ns0:v>
      </ns0:c>
      <ns0:c r="G96" s="9" t="s">
        <ns0:v>2059</ns0:v>
      </ns0:c>
      <ns0:c r="H96" s="9" t="s">
        <ns0:v>2077</ns0:v>
      </ns0:c>
      <ns0:c r="I96" s="2" t="s">
        <ns0:v>2340</ns0:v>
      </ns0:c>
      <ns0:c r="J96" s="2" t="s">
        <ns0:v>2341</ns0:v>
      </ns0:c>
      <ns0:c r="K96" s="2" t="s">
        <ns0:v>2342</ns0:v>
      </ns0:c>
      <ns0:c r="L96" s="2" t="s">
        <ns0:v>2035</ns0:v>
      </ns0:c>
      <ns0:c r="M96" s="5" t="s">
        <ns0:v>552</ns0:v>
      </ns0:c>
      <ns0:c r="N96" s="7" t="s">
        <ns0:v>553</ns0:v>
      </ns0:c>
      <ns0:c r="O96" s="7" t="s">
        <ns0:v>555</ns0:v>
      </ns0:c>
      <ns0:c r="P96" s="7" t="s">
        <ns0:v>2036</ns0:v>
      </ns0:c>
      <ns0:c r="Q96" s="7" t="s">
        <ns0:v>2037</ns0:v>
      </ns0:c>
      <ns0:c r="R96" s="7" t="s">
        <ns0:v>1841</ns0:v>
      </ns0:c>
      <ns0:c r="S96" s="70" t="str">
        <ns0:v>回収・届け物×技能再評価×配信×学費を稼ぐ兄×勝手に発信する妹×失われた品の価値</ns0:v>
      </ns0:c>
      <ns0:c r="T96" s="69" t="str">
        <ns0:v>妹の学費のため清掃を四年継続する。</ns0:v>
      </ns0:c>
      <ns0:c r="U96" s="69" t="str">
        <ns0:v>妹は自ら兄のチャンネルを開設。詳細な性格未確認。</ns0:v>
      </ns0:c>
      <ns0:c r="V96" s="69" t="str">
        <ns0:v>拾うだけの技能が、他人には戻せない品を届ける仕事へ変わる。</ns0:v>
      </ns0:c>
      <ns0:c r="W96" s="69" t="str">
        <ns0:v>隠れた価値の発見と依頼者へ返す満足。</ns0:v>
      </ns0:c>
      <ns0:c r="X96" s="69" t="str">
        <ns0:v>素材から指輪・遺品・事件の証拠へ対象が広がる。</ns0:v>
      </ns0:c>
      <ns0:c r="Y96" s="71" t="str">
        <ns0:v>回収対象と妹の行動は明記。戦えない主人公とされる。</ns0:v>
      </ns0:c>
    </ns0:row>
    <ns0:row r="97" ht="64.05000305175781" customHeight="1">
      <ns0:c r="A97" s="2" t="s">
        <ns0:v>17</ns0:v>
      </ns0:c>
      <ns0:c r="B97" s="4">
        <ns0:v>92</ns0:v>
      </ns0:c>
      <ns0:c r="C97" s="2" t="s">
        <ns0:v>556</ns0:v>
      </ns0:c>
      <ns0:c r="D97" s="6" t="s">
        <ns0:v>2054</ns0:v>
      </ns0:c>
      <ns0:c r="E97" s="6" t="s">
        <ns0:v>2063</ns0:v>
      </ns0:c>
      <ns0:c r="F97" s="6"/>
      <ns0:c r="G97" s="2" t="s">
        <ns0:v>2040</ns0:v>
      </ns0:c>
      <ns0:c r="H97" s="2"/>
      <ns0:c r="I97" s="2" t="s">
        <ns0:v>2343</ns0:v>
      </ns0:c>
      <ns0:c r="J97" s="2" t="s">
        <ns0:v>2344</ns0:v>
      </ns0:c>
      <ns0:c r="K97" s="2" t="s">
        <ns0:v>2345</ns0:v>
      </ns0:c>
      <ns0:c r="L97" s="2" t="s">
        <ns0:v>2035</ns0:v>
      </ns0:c>
      <ns0:c r="M97" s="5" t="s">
        <ns0:v>557</ns0:v>
      </ns0:c>
      <ns0:c r="N97" s="7" t="s">
        <ns0:v>558</ns0:v>
      </ns0:c>
      <ns0:c r="O97" s="7" t="s">
        <ns0:v>560</ns0:v>
      </ns0:c>
      <ns0:c r="P97" s="7" t="s">
        <ns0:v>2036</ns0:v>
      </ns0:c>
      <ns0:c r="Q97" s="7" t="s">
        <ns0:v>2037</ns0:v>
      </ns0:c>
      <ns0:c r="R97" s="7" t="s">
        <ns0:v>1903</ns0:v>
      </ns0:c>
      <ns0:c r="S97" s="73" t="str">
        <ns0:v>やり直し×探索×努力成長×人間不信×自分らしく生きたい少年</ns0:v>
      </ns0:c>
      <ns0:c r="T97" s="72" t="str">
        <ns0:v>裏切りを経て他人から距離を置き、自分の楽しみへ向かう。</ns0:v>
      </ns0:c>
      <ns0:c r="U97" s="72" t="str">
        <ns0:v>旧関係者は裏切り・嘲笑を行う。再出発後の相手役は未確認。</ns0:v>
      </ns0:c>
      <ns0:c r="V97" s="72" t="str">
        <ns0:v>過去の人間関係に縛られた生き方を、新しい没頭先が置き換える。</ns0:v>
      </ns0:c>
      <ns0:c r="W97" s="72" t="str">
        <ns0:v>他者評価からの解放と探索への熱中。</ns0:v>
      </ns0:c>
      <ns0:c r="X97" s="72" t="str">
        <ns0:v>攻略への没入と徐々の成長を予告。信頼回復の有無は未確認。</ns0:v>
      </ns0:c>
      <ns0:c r="Y97" s="74" t="str">
        <ns0:v>一人で生きる決意と攻略への没入が根拠。</ns0:v>
      </ns0:c>
    </ns0:row>
    <ns0:row r="98" ht="64.05000305175781" customHeight="1">
      <ns0:c r="A98" s="2" t="s">
        <ns0:v>17</ns0:v>
      </ns0:c>
      <ns0:c r="B98" s="4">
        <ns0:v>93</ns0:v>
      </ns0:c>
      <ns0:c r="C98" s="2" t="s">
        <ns0:v>561</ns0:v>
      </ns0:c>
      <ns0:c r="D98" s="6" t="s">
        <ns0:v>2063</ns0:v>
      </ns0:c>
      <ns0:c r="E98" s="6"/>
      <ns0:c r="F98" s="6"/>
      <ns0:c r="G98" s="2" t="s">
        <ns0:v>2040</ns0:v>
      </ns0:c>
      <ns0:c r="H98" s="2"/>
      <ns0:c r="I98" s="2" t="s">
        <ns0:v>2346</ns0:v>
      </ns0:c>
      <ns0:c r="J98" s="2" t="s">
        <ns0:v>2347</ns0:v>
      </ns0:c>
      <ns0:c r="K98" s="2" t="s">
        <ns0:v>2348</ns0:v>
      </ns0:c>
      <ns0:c r="L98" s="2" t="s">
        <ns0:v>2349</ns0:v>
      </ns0:c>
      <ns0:c r="M98" s="5" t="s">
        <ns0:v>562</ns0:v>
      </ns0:c>
      <ns0:c r="N98" s="7" t="s">
        <ns0:v>563</ns0:v>
      </ns0:c>
      <ns0:c r="O98" s="7" t="s">
        <ns0:v>565</ns0:v>
      </ns0:c>
      <ns0:c r="P98" s="7" t="s">
        <ns0:v>2036</ns0:v>
      </ns0:c>
      <ns0:c r="Q98" s="7" t="s">
        <ns0:v>2037</ns0:v>
      </ns0:c>
      <ns0:c r="R98" s="7" t="s">
        <ns0:v>1829</ns0:v>
      </ns0:c>
      <ns0:c r="S98" s="70" t="str">
        <ns0:v>現代への復帰×鑑定×災害対処×無双×本音を知りたくない帰還者×打算的な接近者</ns0:v>
      </ns0:c>
      <ns0:c r="T98" s="69" t="str">
        <ns0:v>人の本音が見える能力を持て余し、打算的な接近を嫌う。</ns0:v>
      </ns0:c>
      <ns0:c r="U98" s="69" t="str">
        <ns0:v>周囲には養われたい・便乗したい人々がいる。</ns0:v>
      </ns0:c>
      <ns0:c r="V98" s="69" t="str">
        <ns0:v>何でも見える力が対人場面では煩わしく、災害を見つける場面では有用になる。</ns0:v>
      </ns0:c>
      <ns0:c r="W98" s="69" t="str">
        <ns0:v>見抜く優位と知り過ぎる気まずさ、危機への対応。</ns0:v>
      </ns0:c>
      <ns0:c r="X98" s="69" t="str">
        <ns0:v>個人の思惑から都市の危機へ鑑定対象が広がる。</ns0:v>
      </ns0:c>
      <ns0:c r="Y98" s="71" t="str">
        <ns0:v>本音への困惑を紹介文で確認。おばちゃん最強はタグのみで性格不明。</ns0:v>
      </ns0:c>
    </ns0:row>
    <ns0:row r="99" ht="64.05000305175781" customHeight="1">
      <ns0:c r="A99" s="2" t="s">
        <ns0:v>17</ns0:v>
      </ns0:c>
      <ns0:c r="B99" s="4">
        <ns0:v>94</ns0:v>
      </ns0:c>
      <ns0:c r="C99" s="2" t="s">
        <ns0:v>566</ns0:v>
      </ns0:c>
      <ns0:c r="D99" s="6" t="s">
        <ns0:v>2082</ns0:v>
      </ns0:c>
      <ns0:c r="E99" s="6" t="s">
        <ns0:v>2029</ns0:v>
      </ns0:c>
      <ns0:c r="F99" s="6" t="s">
        <ns0:v>2044</ns0:v>
      </ns0:c>
      <ns0:c r="G99" s="9" t="s">
        <ns0:v>2031</ns0:v>
      </ns0:c>
      <ns0:c r="H99" s="9" t="s">
        <ns0:v>2029</ns0:v>
      </ns0:c>
      <ns0:c r="I99" s="2" t="s">
        <ns0:v>2350</ns0:v>
      </ns0:c>
      <ns0:c r="J99" s="2" t="s">
        <ns0:v>2351</ns0:v>
      </ns0:c>
      <ns0:c r="K99" s="2" t="s">
        <ns0:v>2352</ns0:v>
      </ns0:c>
      <ns0:c r="L99" s="2" t="s">
        <ns0:v>2035</ns0:v>
      </ns0:c>
      <ns0:c r="M99" s="5" t="s">
        <ns0:v>568</ns0:v>
      </ns0:c>
      <ns0:c r="N99" s="7" t="s">
        <ns0:v>569</ns0:v>
      </ns0:c>
      <ns0:c r="O99" s="7" t="s">
        <ns0:v>571</ns0:v>
      </ns0:c>
      <ns0:c r="P99" s="7" t="s">
        <ns0:v>2036</ns0:v>
      </ns0:c>
      <ns0:c r="Q99" s="7" t="s">
        <ns0:v>2037</ns0:v>
      </ns0:c>
      <ns0:c r="R99" s="7" t="s">
        <ns0:v>1851</ns0:v>
      </ns0:c>
      <ns0:c r="S99" s="73" t="str">
        <ns0:v>料理×能力獲得×配信×追放後の再評価×生活のため作る料理人×戦闘より食事を待つ視聴者</ns0:v>
      </ns0:c>
      <ns0:c r="T99" s="72" t="str">
        <ns0:v>空腹と生活費のため料理・配信を始める。細かな性格未確認。</ns0:v>
      </ns0:c>
      <ns0:c r="U99" s="72" t="str">
        <ns0:v>視聴者は戦闘より料理を求める。元仲間は支援価値に無自覚。</ns0:v>
      </ns0:c>
      <ns0:c r="V99" s="72" t="str">
        <ns0:v>強さを得る料理が、配信では戦闘より見たい主役になる。</ns0:v>
      </ns0:c>
      <ns0:c r="W99" s="72" t="str">
        <ns0:v>食欲と能力獲得の二重の満足、仕事の評価逆転。</ns0:v>
      </ns0:c>
      <ns0:c r="X99" s="72" t="str">
        <ns0:v>食材・料理・獲得能力、料理を求める相手が増える。</ns0:v>
      </ns0:c>
      <ns0:c r="Y99" s="74" t="str">
        <ns0:v>視聴者の要望と料理の強化効果を紹介文で確認。</ns0:v>
      </ns0:c>
    </ns0:row>
    <ns0:row r="100" ht="64.05000305175781" customHeight="1">
      <ns0:c r="A100" s="2" t="s">
        <ns0:v>17</ns0:v>
      </ns0:c>
      <ns0:c r="B100" s="4">
        <ns0:v>95</ns0:v>
      </ns0:c>
      <ns0:c r="C100" s="2" t="s">
        <ns0:v>572</ns0:v>
      </ns0:c>
      <ns0:c r="D100" s="6" t="s">
        <ns0:v>2050</ns0:v>
      </ns0:c>
      <ns0:c r="E100" s="6" t="s">
        <ns0:v>2078</ns0:v>
      </ns0:c>
      <ns0:c r="F100" s="6" t="s">
        <ns0:v>2044</ns0:v>
      </ns0:c>
      <ns0:c r="G100" s="2" t="s">
        <ns0:v>2040</ns0:v>
      </ns0:c>
      <ns0:c r="H100" s="2"/>
      <ns0:c r="I100" s="2" t="s">
        <ns0:v>2353</ns0:v>
      </ns0:c>
      <ns0:c r="J100" s="2" t="s">
        <ns0:v>2354</ns0:v>
      </ns0:c>
      <ns0:c r="K100" s="2" t="s">
        <ns0:v>2355</ns0:v>
      </ns0:c>
      <ns0:c r="L100" s="2" t="s">
        <ns0:v>2035</ns0:v>
      </ns0:c>
      <ns0:c r="M100" s="5" t="s">
        <ns0:v>574</ns0:v>
      </ns0:c>
      <ns0:c r="N100" s="7" t="s">
        <ns0:v>575</ns0:v>
      </ns0:c>
      <ns0:c r="O100" s="7" t="s">
        <ns0:v>577</ns0:v>
      </ns0:c>
      <ns0:c r="P100" s="7" t="s">
        <ns0:v>2036</ns0:v>
      </ns0:c>
      <ns0:c r="Q100" s="7" t="s">
        <ns0:v>2037</ns0:v>
      </ns0:c>
      <ns0:c r="R100" s="7" t="s">
        <ns0:v>1875</ns0:v>
      </ns0:c>
      <ns0:c r="S100" s="70" t="str">
        <ns0:v>救済×原作攻略×努力・準備×才能のない諦めない少年×犠牲になる推し</ns0:v>
      </ns0:c>
      <ns0:c r="T100" s="69" t="str">
        <ns0:v>才能不足でも諦めず、時間・道具・知識を総動員する。</ns0:v>
      </ns0:c>
      <ns0:c r="U100" s="69" t="str">
        <ns0:v>推しは世界のため犠牲になる。ヤンデレの対象人物は未確認。</ns0:v>
      </ns0:c>
      <ns0:c r="V100" s="69" t="str">
        <ns0:v>未来を知るだけでは救えない弱さが、基礎技術の組み合わせに価値を与える。</ns0:v>
      </ns0:c>
      <ns0:c r="W100" s="69" t="str">
        <ns0:v>不可能な救済へ届く努力と攻略の納得。</ns0:v>
      </ns0:c>
      <ns0:c r="X100" s="69" t="str">
        <ns0:v>術・地形・時間を手札にする拡張を予告。</ns0:v>
      </ns0:c>
      <ns0:c r="Y100" s="71" t="str">
        <ns0:v>犠牲の回避は紹介文、激重感情・ヤンデレはタグ。本人への断定は不可。</ns0:v>
      </ns0:c>
    </ns0:row>
    <ns0:row r="101" ht="64.05000305175781" customHeight="1">
      <ns0:c r="A101" s="2" t="s">
        <ns0:v>17</ns0:v>
      </ns0:c>
      <ns0:c r="B101" s="4">
        <ns0:v>96</ns0:v>
      </ns0:c>
      <ns0:c r="C101" s="2" t="s">
        <ns0:v>578</ns0:v>
      </ns0:c>
      <ns0:c r="D101" s="6" t="s">
        <ns0:v>2063</ns0:v>
      </ns0:c>
      <ns0:c r="E101" s="6" t="s">
        <ns0:v>2049</ns0:v>
      </ns0:c>
      <ns0:c r="F101" s="6" t="s">
        <ns0:v>2058</ns0:v>
      </ns0:c>
      <ns0:c r="G101" s="9" t="s">
        <ns0:v>2031</ns0:v>
      </ns0:c>
      <ns0:c r="H101" s="9" t="s">
        <ns0:v>2058</ns0:v>
      </ns0:c>
      <ns0:c r="I101" s="2" t="s">
        <ns0:v>2356</ns0:v>
      </ns0:c>
      <ns0:c r="J101" s="2" t="s">
        <ns0:v>2357</ns0:v>
      </ns0:c>
      <ns0:c r="K101" s="2" t="s">
        <ns0:v>2358</ns0:v>
      </ns0:c>
      <ns0:c r="L101" s="2" t="s">
        <ns0:v>2035</ns0:v>
      </ns0:c>
      <ns0:c r="M101" s="5" t="s">
        <ns0:v>580</ns0:v>
      </ns0:c>
      <ns0:c r="N101" s="7" t="s">
        <ns0:v>581</ns0:v>
      </ns0:c>
      <ns0:c r="O101" s="7" t="s">
        <ns0:v>583</ns0:v>
      </ns0:c>
      <ns0:c r="P101" s="7" t="s">
        <ns0:v>2036</ns0:v>
      </ns0:c>
      <ns0:c r="Q101" s="7" t="s">
        <ns0:v>2037</ns0:v>
      </ns0:c>
      <ns0:c r="R101" s="7" t="s">
        <ns0:v>1815</ns0:v>
      </ns0:c>
      <ns0:c r="S101" s="73" t="str">
        <ns0:v>拠点づくり×キャンプ×生産×絶対安全×戦えず趣味へ向かった主人公</ns0:v>
      </ns0:c>
      <ns0:c r="T101" s="72" t="str">
        <ns0:v>孤立後に趣味へ没頭し、自由な時間を楽しもうとする。</ns0:v>
      </ns0:c>
      <ns0:c r="U101" s="72" t="str">
        <ns0:v>友人たちは探索へ行く。悪意や追放は確認できない。</ns0:v>
      </ns0:c>
      <ns0:c r="V101" s="72" t="str">
        <ns0:v>戦闘に役立たない趣味が、戦う人にも必要な帰れる場所の力になる。</ns0:v>
      </ns0:c>
      <ns0:c r="W101" s="72" t="str">
        <ns0:v>安全な生活の安心と非戦闘技能の再評価。</ns0:v>
      </ns0:c>
      <ns0:c r="X101" s="72" t="str">
        <ns0:v>料理・加工・農業・醸造へ用途が広がる。</ns0:v>
      </ns0:c>
      <ns0:c r="Y101" s="74" t="str">
        <ns0:v>追放されたわけではないと題名で明記。被害感情を補わない。</ns0:v>
      </ns0:c>
    </ns0:row>
    <ns0:row r="102" ht="67.95" customHeight="1">
      <ns0:c r="A102" s="2" t="s">
        <ns0:v>17</ns0:v>
      </ns0:c>
      <ns0:c r="B102" s="4">
        <ns0:v>97</ns0:v>
      </ns0:c>
      <ns0:c r="C102" s="2" t="s">
        <ns0:v>584</ns0:v>
      </ns0:c>
      <ns0:c r="D102" s="6" t="s">
        <ns0:v>2058</ns0:v>
      </ns0:c>
      <ns0:c r="E102" s="6" t="s">
        <ns0:v>2029</ns0:v>
      </ns0:c>
      <ns0:c r="F102" s="6" t="s">
        <ns0:v>2102</ns0:v>
      </ns0:c>
      <ns0:c r="G102" s="9" t="s">
        <ns0:v>2059</ns0:v>
      </ns0:c>
      <ns0:c r="H102" s="9" t="s">
        <ns0:v>2359</ns0:v>
      </ns0:c>
      <ns0:c r="I102" s="2" t="s">
        <ns0:v>2360</ns0:v>
      </ns0:c>
      <ns0:c r="J102" s="2" t="s">
        <ns0:v>2361</ns0:v>
      </ns0:c>
      <ns0:c r="K102" s="2" t="s">
        <ns0:v>2362</ns0:v>
      </ns0:c>
      <ns0:c r="L102" s="2" t="s">
        <ns0:v>2035</ns0:v>
      </ns0:c>
      <ns0:c r="M102" s="5" t="s">
        <ns0:v>586</ns0:v>
      </ns0:c>
      <ns0:c r="N102" s="7" t="s">
        <ns0:v>587</ns0:v>
      </ns0:c>
      <ns0:c r="O102" s="7" t="s">
        <ns0:v>589</ns0:v>
      </ns0:c>
      <ns0:c r="P102" s="7" t="s">
        <ns0:v>2036</ns0:v>
      </ns0:c>
      <ns0:c r="Q102" s="7" t="s">
        <ns0:v>2037</ns0:v>
      </ns0:c>
      <ns0:c r="R102" s="7" t="s">
        <ns0:v>1899</ns0:v>
      </ns0:c>
      <ns0:c r="S102" s="70" t="str">
        <ns0:v>配信支援×護衛×男女役割の逆転×献身的な従者×家を再興したいお嬢様</ns0:v>
      </ns0:c>
      <ns0:c r="T102" s="69" t="str">
        <ns0:v>主人を守り支えることを当然と考える。</ns0:v>
      </ns0:c>
      <ns0:c r="U102" s="69" t="str">
        <ns0:v>お嬢様は家の再興を望む。同級生は数字に厳しい。</ns0:v>
      </ns0:c>
      <ns0:c r="V102" s="69" t="str">
        <ns0:v>本人に普通の奉仕が、守られるべき男性の振る舞いとしては特別な魅力になる。</ns0:v>
      </ns0:c>
      <ns0:c r="W102" s="69" t="str">
        <ns0:v>当たり前の親切が高く評価される快感と主従の親密さ。</ns0:v>
      </ns0:c>
      <ns0:c r="X102" s="69" t="str">
        <ns0:v>護衛・料理・荷物運びなど日常行動にも反応が波及。</ns0:v>
      </ns0:c>
      <ns0:c r="Y102" s="71" t="str">
        <ns0:v>性別役割と本人の規範の差が根拠。お嬢様の高慢さは未確認。</ns0:v>
      </ns0:c>
    </ns0:row>
    <ns0:row r="103" ht="64.05000305175781" customHeight="1">
      <ns0:c r="A103" s="2" t="s">
        <ns0:v>17</ns0:v>
      </ns0:c>
      <ns0:c r="B103" s="4">
        <ns0:v>98</ns0:v>
      </ns0:c>
      <ns0:c r="C103" s="2" t="s">
        <ns0:v>590</ns0:v>
      </ns0:c>
      <ns0:c r="D103" s="6" t="s">
        <ns0:v>2030</ns0:v>
      </ns0:c>
      <ns0:c r="E103" s="6" t="s">
        <ns0:v>2054</ns0:v>
      </ns0:c>
      <ns0:c r="F103" s="6"/>
      <ns0:c r="G103" s="2" t="s">
        <ns0:v>2040</ns0:v>
      </ns0:c>
      <ns0:c r="H103" s="2"/>
      <ns0:c r="I103" s="2" t="s">
        <ns0:v>2363</ns0:v>
      </ns0:c>
      <ns0:c r="J103" s="2" t="s">
        <ns0:v>2364</ns0:v>
      </ns0:c>
      <ns0:c r="K103" s="2" t="s">
        <ns0:v>2365</ns0:v>
      </ns0:c>
      <ns0:c r="L103" s="2" t="s">
        <ns0:v>2366</ns0:v>
      </ns0:c>
      <ns0:c r="M103" s="5" t="s">
        <ns0:v>592</ns0:v>
      </ns0:c>
      <ns0:c r="N103" s="7" t="s">
        <ns0:v>593</ns0:v>
      </ns0:c>
      <ns0:c r="O103" s="7" t="s">
        <ns0:v>595</ns0:v>
      </ns0:c>
      <ns0:c r="P103" s="7" t="s">
        <ns0:v>2036</ns0:v>
      </ns0:c>
      <ns0:c r="Q103" s="7" t="s">
        <ns0:v>2037</ns0:v>
      </ns0:c>
      <ns0:c r="R103" s="7" t="s">
        <ns0:v>1807</ns0:v>
      </ns0:c>
      <ns0:c r="S103" s="73" t="str">
        <ns0:v>探索稼業×配信×地方の人手不足×実力と知名度の不一致×忙殺される少年</ns0:v>
      </ns0:c>
      <ns0:c r="T103" s="72" t="str">
        <ns0:v>業務を一人で担う。固有の性格は未確認。</ns0:v>
      </ns0:c>
      <ns0:c r="U103" s="72" t="str">
        <ns0:v>地元に他の探索者がいない。相手役の性格未確認。</ns0:v>
      </ns0:c>
      <ns0:c r="V103" s="72" t="str">
        <ns0:v>実力不足ではなく場所と人手の問題で埋もれている人物が、広い評価へ接続する。</ns0:v>
      </ns0:c>
      <ns0:c r="W103" s="72" t="str">
        <ns0:v>働き手の価値が知られる喜び。</ns0:v>
      </ns0:c>
      <ns0:c r="X103" s="72" t="str">
        <ns0:v>世界的な知名度への拡大を予告。性格を使った捻りは未確認。</ns0:v>
      </ns0:c>
      <ns0:c r="Y103" s="74" t="str">
        <ns0:v>地方・単独の業務は紹介文。孤立をコミュ障とはしない。</ns0:v>
      </ns0:c>
    </ns0:row>
    <ns0:row r="104" ht="64.05000305175781" customHeight="1">
      <ns0:c r="A104" s="2" t="s">
        <ns0:v>17</ns0:v>
      </ns0:c>
      <ns0:c r="B104" s="4">
        <ns0:v>99</ns0:v>
      </ns0:c>
      <ns0:c r="C104" s="2" t="s">
        <ns0:v>596</ns0:v>
      </ns0:c>
      <ns0:c r="D104" s="10" t="s">
        <ns0:v>2158</ns0:v>
      </ns0:c>
      <ns0:c r="E104" s="10"/>
      <ns0:c r="F104" s="10"/>
      <ns0:c r="G104" s="11" t="s">
        <ns0:v>2159</ns0:v>
      </ns0:c>
      <ns0:c r="H104" s="11"/>
      <ns0:c r="I104" s="2" t="s">
        <ns0:v>2367</ns0:v>
      </ns0:c>
      <ns0:c r="J104" s="2" t="s">
        <ns0:v>2368</ns0:v>
      </ns0:c>
      <ns0:c r="K104" s="2" t="s">
        <ns0:v>2369</ns0:v>
      </ns0:c>
      <ns0:c r="L104" s="2" t="s">
        <ns0:v>2163</ns0:v>
      </ns0:c>
      <ns0:c r="M104" s="5" t="s">
        <ns0:v>598</ns0:v>
      </ns0:c>
      <ns0:c r="N104" s="7" t="s">
        <ns0:v>599</ns0:v>
      </ns0:c>
      <ns0:c r="O104" s="7" t="s">
        <ns0:v>601</ns0:v>
      </ns0:c>
      <ns0:c r="P104" s="7" t="s">
        <ns0:v>2036</ns0:v>
      </ns0:c>
      <ns0:c r="Q104" s="7" t="s">
        <ns0:v>2037</ns0:v>
      </ns0:c>
      <ns0:c r="R104" s="7" t="s">
        <ns0:v>1892</ns0:v>
      </ns0:c>
      <ns0:c r="S104" s="70" t="str">
        <ns0:v>主ベース保留×異世界騎士の現代転送×女性主人公×因習村〔タグ〕×性格未確認</ns0:v>
      </ns0:c>
      <ns0:c r="T104" s="69" t="str">
        <ns0:v>女主人公とのタグのみ。性格未確認。</ns0:v>
      </ns0:c>
      <ns0:c r="U104" s="69" t="str">
        <ns0:v>騎士の性格は未確認。</ns0:v>
      </ns0:c>
      <ns0:c r="V104" s="69" t="str">
        <ns0:v>異文化の出会いは読み取れるが、性格の相性や独自の捻りを判定する材料がない。</ns0:v>
      </ns0:c>
      <ns0:c r="W104" s="69" t="str">
        <ns0:v>異世界騎士が現代に来た際の反応への関心まで。</ns0:v>
      </ns0:c>
      <ns0:c r="X104" s="69" t="str">
        <ns0:v>紹介文が題名の繰り返しのため、継続する活動は未確認。</ns0:v>
      </ns0:c>
      <ns0:c r="Y104" s="71" t="str">
        <ns0:v>題名・タグのみ。騎士を堅物・誠実などと補完しない。</ns0:v>
      </ns0:c>
    </ns0:row>
    <ns0:row r="105" ht="64.05000305175781" customHeight="1">
      <ns0:c r="A105" s="2" t="s">
        <ns0:v>17</ns0:v>
      </ns0:c>
      <ns0:c r="B105" s="4">
        <ns0:v>100</ns0:v>
      </ns0:c>
      <ns0:c r="C105" s="2" t="s">
        <ns0:v>602</ns0:v>
      </ns0:c>
      <ns0:c r="D105" s="6" t="s">
        <ns0:v>2029</ns0:v>
      </ns0:c>
      <ns0:c r="E105" s="6" t="s">
        <ns0:v>2082</ns0:v>
      </ns0:c>
      <ns0:c r="F105" s="6"/>
      <ns0:c r="G105" s="9" t="s">
        <ns0:v>2059</ns0:v>
      </ns0:c>
      <ns0:c r="H105" s="9" t="s">
        <ns0:v>2029</ns0:v>
      </ns0:c>
      <ns0:c r="I105" s="2" t="s">
        <ns0:v>2370</ns0:v>
      </ns0:c>
      <ns0:c r="J105" s="2" t="s">
        <ns0:v>2371</ns0:v>
      </ns0:c>
      <ns0:c r="K105" s="2" t="s">
        <ns0:v>2372</ns0:v>
      </ns0:c>
      <ns0:c r="L105" s="2" t="s">
        <ns0:v>2035</ns0:v>
      </ns0:c>
      <ns0:c r="M105" s="5" t="s">
        <ns0:v>604</ns0:v>
      </ns0:c>
      <ns0:c r="N105" s="7" t="s">
        <ns0:v>605</ns0:v>
      </ns0:c>
      <ns0:c r="O105" s="7" t="s">
        <ns0:v>607</ns0:v>
      </ns0:c>
      <ns0:c r="P105" s="7" t="s">
        <ns0:v>2036</ns0:v>
      </ns0:c>
      <ns0:c r="Q105" s="7" t="s">
        <ns0:v>2037</ns0:v>
      </ns0:c>
      <ns0:c r="R105" s="7" t="s">
        <ns0:v>1805</ns0:v>
      </ns0:c>
      <ns0:c r="S105" s="73" t="str">
        <ns0:v>配信×探索グルメ×最強×推しへの給仕願望×人気が目的を追い越す主人公</ns0:v>
      </ns0:c>
      <ns0:c r="T105" s="72" t="str">
        <ns0:v>推しに料理を振る舞いたくて配信者になる。</ns0:v>
      </ns0:c>
      <ns0:c r="U105" s="72" t="str">
        <ns0:v>推しは迷宮食材を好む。性格未確認。</ns0:v>
      </ns0:c>
      <ns0:c r="V105" s="72" t="str">
        <ns0:v>最強の探索力と配信活動が推しとの食事を目指す手段なのに、人気が大きくなりすぎる。</ns0:v>
      </ns0:c>
      <ns0:c r="W105" s="72" t="str">
        <ns0:v>推しとの距離が縮まる喜びと趣味が大事になる可笑しさ。</ns0:v>
      </ns0:c>
      <ns0:c r="X105" s="72" t="str">
        <ns0:v>想定以上の成長で引くに引けなくなると予告。</ns0:v>
      </ns0:c>
      <ns0:c r="Y105" s="74" t="str">
        <ns0:v>食事を振る舞う動機と人気化の困惑が根拠。</ns0:v>
      </ns0:c>
    </ns0:row>
    <ns0:row r="106" ht="64.05000305175781" customHeight="1">
      <ns0:c r="A106" s="2" t="s">
        <ns0:v>608</ns0:v>
      </ns0:c>
      <ns0:c r="B106" s="4">
        <ns0:v>1</ns0:v>
      </ns0:c>
      <ns0:c r="C106" s="2" t="s">
        <ns0:v>609</ns0:v>
      </ns0:c>
      <ns0:c r="D106" s="6" t="s">
        <ns0:v>2038</ns0:v>
      </ns0:c>
      <ns0:c r="E106" s="6" t="s">
        <ns0:v>2078</ns0:v>
      </ns0:c>
      <ns0:c r="F106" s="6"/>
      <ns0:c r="G106" s="2" t="s">
        <ns0:v>2040</ns0:v>
      </ns0:c>
      <ns0:c r="H106" s="2"/>
      <ns0:c r="I106" s="2" t="s">
        <ns0:v>2373</ns0:v>
      </ns0:c>
      <ns0:c r="J106" s="2" t="s">
        <ns0:v>2374</ns0:v>
      </ns0:c>
      <ns0:c r="K106" s="2" t="s">
        <ns0:v>2375</ns0:v>
      </ns0:c>
      <ns0:c r="L106" s="2" t="s">
        <ns0:v>2035</ns0:v>
      </ns0:c>
      <ns0:c r="M106" s="5" t="s">
        <ns0:v>611</ns0:v>
      </ns0:c>
      <ns0:c r="N106" s="7" t="s">
        <ns0:v>612</ns0:v>
      </ns0:c>
      <ns0:c r="O106" s="7" t="s">
        <ns0:v>614</ns0:v>
      </ns0:c>
      <ns0:c r="P106" s="7" t="s">
        <ns0:v>2036</ns0:v>
      </ns0:c>
      <ns0:c r="Q106" s="7" t="s">
        <ns0:v>2376</ns0:v>
      </ns0:c>
      <ns0:c r="R106" s="7" t="s">
        <ns0:v>1975</ns0:v>
      </ns0:c>
      <ns0:c r="S106" s="70" t="str">
        <ns0:v>生存×原作知識×ロボット×家族扶養×作品好きで死にたくない主人公×知識が薄い序章</ns0:v>
      </ns0:c>
      <ns0:c r="T106" s="69" t="str">
        <ns0:v>作品への憧れと生存への必死さを持ち、家族のため逃げられない。</ns0:v>
      </ns0:c>
      <ns0:c r="U106" s="69" t="str">
        <ns0:v>家族・同期の性格は未確認。</ns0:v>
      </ns0:c>
      <ns0:c r="V106" s="69" t="str">
        <ns0:v>大量の知識があっても本編前には役立ちにくく、憧れの職業が死地への進路になる。</ns0:v>
      </ns0:c>
      <ns0:c r="W106" s="69" t="str">
        <ns0:v>知識の限界を越えて生き延びる緊張と工夫。</ns0:v>
      </ns0:c>
      <ns0:c r="X106" s="69" t="str">
        <ns0:v>生存行動が原作を壊すと予告。</ns0:v>
      </ns0:c>
      <ns0:c r="Y106" s="71" t="str">
        <ns0:v>序章の情報不足と家族の事情を紹介文で確認。</ns0:v>
      </ns0:c>
    </ns0:row>
    <ns0:row r="107" ht="82.05000305175781" customHeight="1">
      <ns0:c r="A107" s="2" t="s">
        <ns0:v>608</ns0:v>
      </ns0:c>
      <ns0:c r="B107" s="4">
        <ns0:v>2</ns0:v>
      </ns0:c>
      <ns0:c r="C107" s="2" t="s">
        <ns0:v>615</ns0:v>
      </ns0:c>
      <ns0:c r="D107" s="6" t="s">
        <ns0:v>2117</ns0:v>
      </ns0:c>
      <ns0:c r="E107" s="6" t="s">
        <ns0:v>2039</ns0:v>
      </ns0:c>
      <ns0:c r="F107" s="6" t="s">
        <ns0:v>2063</ns0:v>
      </ns0:c>
      <ns0:c r="G107" s="2" t="s">
        <ns0:v>2040</ns0:v>
      </ns0:c>
      <ns0:c r="H107" s="2"/>
      <ns0:c r="I107" s="2" t="s">
        <ns0:v>2377</ns0:v>
      </ns0:c>
      <ns0:c r="J107" s="2" t="s">
        <ns0:v>2378</ns0:v>
      </ns0:c>
      <ns0:c r="K107" s="2" t="s">
        <ns0:v>2379</ns0:v>
      </ns0:c>
      <ns0:c r="L107" s="2" t="s">
        <ns0:v>2035</ns0:v>
      </ns0:c>
      <ns0:c r="M107" s="5" t="s">
        <ns0:v>617</ns0:v>
      </ns0:c>
      <ns0:c r="N107" s="7" t="s">
        <ns0:v>618</ns0:v>
      </ns0:c>
      <ns0:c r="O107" s="7" t="s">
        <ns0:v>620</ns0:v>
      </ns0:c>
      <ns0:c r="P107" s="7" t="s">
        <ns0:v>2036</ns0:v>
      </ns0:c>
      <ns0:c r="Q107" s="7" t="s">
        <ns0:v>2376</ns0:v>
      </ns0:c>
      <ns0:c r="R107" s="7" t="s">
        <ns0:v>1982</ns0:v>
      </ns0:c>
      <ns0:c r="S107" s="73" t="str">
        <ns0:v>領地経営×人材再生×処刑期限×好き放題したい悪役志望×好待遇に忠誠を誓う従者</ns0:v>
      </ns0:c>
      <ns0:c r="T107" s="72" t="str">
        <ns0:v>楽をして贅沢したい。前世では依頼者を助けようとする。</ns0:v>
      </ns0:c>
      <ns0:c r="U107" s="72" t="str">
        <ns0:v>酷使された人材が休養と治療に感謝し忠誠を誓う。</ns0:v>
      </ns0:c>
      <ns0:c r="V107" s="72" t="str">
        <ns0:v>搾取のつもりの管理が人材を回復させ、捨てたはずの破滅回避まで進めてしまう。</ns0:v>
      </ns0:c>
      <ns0:c r="W107" s="72" t="str">
        <ns0:v>本人の悪役認識と周囲の感謝のずれ、才能の回復。</ns0:v>
      </ns0:c>
      <ns0:c r="X107" s="72" t="str">
        <ns0:v>屋敷から領地へ成果が広がり、処刑から遠ざかる。</ns0:v>
      </ns0:c>
      <ns0:c r="Y107" s="74" t="str">
        <ns0:v>休養・食事・治療の理由と受け止めの差が根拠。</ns0:v>
      </ns0:c>
    </ns0:row>
    <ns0:row r="108" ht="64.05000305175781" customHeight="1">
      <ns0:c r="A108" s="2" t="s">
        <ns0:v>608</ns0:v>
      </ns0:c>
      <ns0:c r="B108" s="4">
        <ns0:v>3</ns0:v>
      </ns0:c>
      <ns0:c r="C108" s="2" t="s">
        <ns0:v>621</ns0:v>
      </ns0:c>
      <ns0:c r="D108" s="6" t="s">
        <ns0:v>2049</ns0:v>
      </ns0:c>
      <ns0:c r="E108" s="6" t="s">
        <ns0:v>2058</ns0:v>
      </ns0:c>
      <ns0:c r="F108" s="6" t="s">
        <ns0:v>2063</ns0:v>
      </ns0:c>
      <ns0:c r="G108" s="9" t="s">
        <ns0:v>2031</ns0:v>
      </ns0:c>
      <ns0:c r="H108" s="9" t="s">
        <ns0:v>2058</ns0:v>
      </ns0:c>
      <ns0:c r="I108" s="2" t="s">
        <ns0:v>2380</ns0:v>
      </ns0:c>
      <ns0:c r="J108" s="2" t="s">
        <ns0:v>2381</ns0:v>
      </ns0:c>
      <ns0:c r="K108" s="2" t="s">
        <ns0:v>2382</ns0:v>
      </ns0:c>
      <ns0:c r="L108" s="2" t="s">
        <ns0:v>2035</ns0:v>
      </ns0:c>
      <ns0:c r="M108" s="5" t="s">
        <ns0:v>623</ns0:v>
      </ns0:c>
      <ns0:c r="N108" s="7" t="s">
        <ns0:v>624</ns0:v>
      </ns0:c>
      <ns0:c r="O108" s="7" t="s">
        <ns0:v>626</ns0:v>
      </ns0:c>
      <ns0:c r="P108" s="7" t="s">
        <ns0:v>2036</ns0:v>
      </ns0:c>
      <ns0:c r="Q108" s="7" t="s">
        <ns0:v>2376</ns0:v>
      </ns0:c>
      <ns0:c r="R108" s="7" t="s">
        <ns0:v>1921</ns0:v>
      </ns0:c>
      <ns0:c r="S108" s="70" t="str">
        <ns0:v>ものづくり×学園×国家防衛×自己評価の低い鍛冶少年×高慢な令嬢・眠たげな同級生</ns0:v>
      </ns0:c>
      <ns0:c r="T108" s="69" t="str">
        <ns0:v>自分は都会では普通と思い、自由な研究環境を喜ぶ。</ns0:v>
      </ns0:c>
      <ns0:c r="U108" s="69" t="str">
        <ns0:v>令嬢は高慢、火薬使いは眠たげ。全員強く癖がある。</ns0:v>
      </ns0:c>
      <ns0:c r="V108" s="69" t="str">
        <ns0:v>趣味を深められる学校が国家防衛の場でもあり、普通と思う本人も規格外集団の一員。</ns0:v>
      </ns0:c>
      <ns0:c r="W108" s="69" t="str">
        <ns0:v>才能の再評価、研究の自由と初めての友人関係。</ns0:v>
      </ns0:c>
      <ns0:c r="X108" s="69" t="str">
        <ns0:v>授業・研究・お茶会・防衛任務と試し場が複数。</ns0:v>
      </ns0:c>
      <ns0:c r="Y108" s="71" t="str">
        <ns0:v>人物傾向と学校の義務を紹介文で確認。</ns0:v>
      </ns0:c>
    </ns0:row>
    <ns0:row r="109" ht="64.05000305175781" customHeight="1">
      <ns0:c r="A109" s="2" t="s">
        <ns0:v>608</ns0:v>
      </ns0:c>
      <ns0:c r="B109" s="4">
        <ns0:v>4</ns0:v>
      </ns0:c>
      <ns0:c r="C109" s="2" t="s">
        <ns0:v>627</ns0:v>
      </ns0:c>
      <ns0:c r="D109" s="6" t="s">
        <ns0:v>2063</ns0:v>
      </ns0:c>
      <ns0:c r="E109" s="6" t="s">
        <ns0:v>2054</ns0:v>
      </ns0:c>
      <ns0:c r="F109" s="6"/>
      <ns0:c r="G109" s="2" t="s">
        <ns0:v>2040</ns0:v>
      </ns0:c>
      <ns0:c r="H109" s="2"/>
      <ns0:c r="I109" s="2" t="s">
        <ns0:v>2383</ns0:v>
      </ns0:c>
      <ns0:c r="J109" s="2" t="s">
        <ns0:v>2384</ns0:v>
      </ns0:c>
      <ns0:c r="K109" s="2" t="s">
        <ns0:v>2385</ns0:v>
      </ns0:c>
      <ns0:c r="L109" s="2" t="s">
        <ns0:v>2035</ns0:v>
      </ns0:c>
      <ns0:c r="M109" s="5" t="s">
        <ns0:v>629</ns0:v>
      </ns0:c>
      <ns0:c r="N109" s="7" t="s">
        <ns0:v>627</ns0:v>
      </ns0:c>
      <ns0:c r="O109" s="7" t="s">
        <ns0:v>631</ns0:v>
      </ns0:c>
      <ns0:c r="P109" s="7" t="s">
        <ns0:v>2036</ns0:v>
      </ns0:c>
      <ns0:c r="Q109" s="7" t="s">
        <ns0:v>2376</ns0:v>
      </ns0:c>
      <ns0:c r="R109" s="7" t="s">
        <ns0:v>1974</ns0:v>
      </ns0:c>
      <ns0:c r="S109" s="73" t="str">
        <ns0:v>冒険者生活×生活基盤づくり×十歳の自立×大望より生き続けたい少年</ns0:v>
      </ns0:c>
      <ns0:c r="T109" s="72" t="str">
        <ns0:v>夢や大目標はなく、生き続けたいと望む。</ns0:v>
      </ns0:c>
      <ns0:c r="U109" s="72" t="str">
        <ns0:v>家族は存在を無視する。新しい相手役の性格未確認。</ns0:v>
      </ns0:c>
      <ns0:c r="V109" s="72" t="str">
        <ns0:v>幼い自立を華やかな冒険より生活確保として描くことで、小さな安定が報酬になる。</ns0:v>
      </ns0:c>
      <ns0:c r="W109" s="72" t="str">
        <ns0:v>居場所と生活を自分で得る安心。</ns0:v>
      </ns0:c>
      <ns0:c r="X109" s="72" t="str">
        <ns0:v>知識・技術で基盤を作ると明記。人物交流の詳細未確認。</ns0:v>
      </ns0:c>
      <ns0:c r="Y109" s="74" t="str">
        <ns0:v>年齢は属性、生存願望が性格・動機の根拠。</ns0:v>
      </ns0:c>
    </ns0:row>
    <ns0:row r="110" ht="64.05000305175781" customHeight="1">
      <ns0:c r="A110" s="2" t="s">
        <ns0:v>608</ns0:v>
      </ns0:c>
      <ns0:c r="B110" s="4">
        <ns0:v>5</ns0:v>
      </ns0:c>
      <ns0:c r="C110" s="2" t="s">
        <ns0:v>632</ns0:v>
      </ns0:c>
      <ns0:c r="D110" s="6" t="s">
        <ns0:v>2082</ns0:v>
      </ns0:c>
      <ns0:c r="E110" s="6"/>
      <ns0:c r="F110" s="6"/>
      <ns0:c r="G110" s="2" t="s">
        <ns0:v>2040</ns0:v>
      </ns0:c>
      <ns0:c r="H110" s="2"/>
      <ns0:c r="I110" s="2" t="s">
        <ns0:v>2386</ns0:v>
      </ns0:c>
      <ns0:c r="J110" s="2" t="s">
        <ns0:v>2387</ns0:v>
      </ns0:c>
      <ns0:c r="K110" s="2" t="s">
        <ns0:v>2388</ns0:v>
      </ns0:c>
      <ns0:c r="L110" s="2" t="s">
        <ns0:v>2035</ns0:v>
      </ns0:c>
      <ns0:c r="M110" s="5" t="s">
        <ns0:v>634</ns0:v>
      </ns0:c>
      <ns0:c r="N110" s="7" t="s">
        <ns0:v>635</ns0:v>
      </ns0:c>
      <ns0:c r="O110" s="7" t="s">
        <ns0:v>637</ns0:v>
      </ns0:c>
      <ns0:c r="P110" s="7" t="s">
        <ns0:v>2036</ns0:v>
      </ns0:c>
      <ns0:c r="Q110" s="7" t="s">
        <ns0:v>2376</ns0:v>
      </ns0:c>
      <ns0:c r="R110" s="7" t="s">
        <ns0:v>1971</ns0:v>
      </ns0:c>
      <ns0:c r="S110" s="70" t="str">
        <ns0:v>料理×店づくり×癒し×職人の誇り×権力闘争で疲れた女帝×お忍びの食事</ns0:v>
      </ns0:c>
      <ns0:c r="T110" s="69" t="str">
        <ns0:v>技術を磨き、一杯で客の心を動かそうとする料理人。</ns0:v>
      </ns0:c>
      <ns0:c r="U110" s="69" t="str">
        <ns0:v>女帝は重圧に疲れ、恐る恐る店へ入る。</ns0:v>
      </ns0:c>
      <ns0:c r="V110" s="69" t="str">
        <ns0:v>頂点にいる女性に不足する安らぎを、小さな店の職人が食事で与える。</ns0:v>
      </ns0:c>
      <ns0:c r="W110" s="69" t="str">
        <ns0:v>食欲と癒し、地位を離れてくつろぐ姿への愛着。</ns0:v>
      </ns0:c>
      <ns0:c r="X110" s="69" t="str">
        <ns0:v>女帝の継続来店は題名。料理や関係変化の細部未確認。</ns0:v>
      </ns0:c>
      <ns0:c r="Y110" s="71" t="str">
        <ns0:v>職人の誇りと女帝の疲労を紹介文で確認。</ns0:v>
      </ns0:c>
    </ns0:row>
    <ns0:row r="111" ht="64.05000305175781" customHeight="1">
      <ns0:c r="A111" s="2" t="s">
        <ns0:v>608</ns0:v>
      </ns0:c>
      <ns0:c r="B111" s="4">
        <ns0:v>6</ns0:v>
      </ns0:c>
      <ns0:c r="C111" s="2" t="s">
        <ns0:v>638</ns0:v>
      </ns0:c>
      <ns0:c r="D111" s="6" t="s">
        <ns0:v>2063</ns0:v>
      </ns0:c>
      <ns0:c r="E111" s="6" t="s">
        <ns0:v>2044</ns0:v>
      </ns0:c>
      <ns0:c r="F111" s="6"/>
      <ns0:c r="G111" s="2" t="s">
        <ns0:v>2040</ns0:v>
      </ns0:c>
      <ns0:c r="H111" s="2"/>
      <ns0:c r="I111" s="2" t="s">
        <ns0:v>2389</ns0:v>
      </ns0:c>
      <ns0:c r="J111" s="2" t="s">
        <ns0:v>2390</ns0:v>
      </ns0:c>
      <ns0:c r="K111" s="2" t="s">
        <ns0:v>2391</ns0:v>
      </ns0:c>
      <ns0:c r="L111" s="2" t="s">
        <ns0:v>2035</ns0:v>
      </ns0:c>
      <ns0:c r="M111" s="5" t="s">
        <ns0:v>640</ns0:v>
      </ns0:c>
      <ns0:c r="N111" s="7" t="s">
        <ns0:v>641</ns0:v>
      </ns0:c>
      <ns0:c r="O111" s="7" t="s">
        <ns0:v>643</ns0:v>
      </ns0:c>
      <ns0:c r="P111" s="7" t="s">
        <ns0:v>2036</ns0:v>
      </ns0:c>
      <ns0:c r="Q111" s="7" t="s">
        <ns0:v>2376</ns0:v>
      </ns0:c>
      <ns0:c r="R111" s="7" t="s">
        <ns0:v>1937</ns0:v>
      </ns0:c>
      <ns0:c r="S111" s="73" t="str">
        <ns0:v>冒険者の日常×正体隠し×無双×煙草好きでのらりくらりした中年×死んだ英雄の過去</ns0:v>
      </ns0:c>
      <ns0:c r="T111" s="72" t="str">
        <ns0:v>仕事をあまり受けず、その日暮らしを好む。</ns0:v>
      </ns0:c>
      <ns0:c r="U111" s="72" t="str">
        <ns0:v>主要な相手役の性格は未確認。</ns0:v>
      </ns0:c>
      <ns0:c r="V111" s="72" t="str">
        <ns0:v>底辺と見える怠い暮らしに元最高責任者の実力が隠れ、煙草を吸う余裕が強さを見せる。</ns0:v>
      </ns0:c>
      <ns0:c r="W111" s="72" t="str">
        <ns0:v>肩肘張らない強者の格好よさと秘密の共有。</ns0:v>
      </ns0:c>
      <ns0:c r="X111" s="72" t="str">
        <ns0:v>のらりくらり生きる方針は明記。再登板の詳細未確認。</ns0:v>
      </ns0:c>
      <ns0:c r="Y111" s="74" t="str">
        <ns0:v>性格は紹介文、敵前の余裕はキャッチ。</ns0:v>
      </ns0:c>
    </ns0:row>
    <ns0:row r="112" ht="64.05000305175781" customHeight="1">
      <ns0:c r="A112" s="2" t="s">
        <ns0:v>608</ns0:v>
      </ns0:c>
      <ns0:c r="B112" s="4">
        <ns0:v>7</ns0:v>
      </ns0:c>
      <ns0:c r="C112" s="2" t="s">
        <ns0:v>644</ns0:v>
      </ns0:c>
      <ns0:c r="D112" s="6" t="s">
        <ns0:v>2138</ns0:v>
      </ns0:c>
      <ns0:c r="E112" s="6" t="s">
        <ns0:v>2073</ns0:v>
      </ns0:c>
      <ns0:c r="F112" s="6" t="s">
        <ns0:v>2113</ns0:v>
      </ns0:c>
      <ns0:c r="G112" s="2" t="s">
        <ns0:v>2040</ns0:v>
      </ns0:c>
      <ns0:c r="H112" s="2"/>
      <ns0:c r="I112" s="2" t="s">
        <ns0:v>2392</ns0:v>
      </ns0:c>
      <ns0:c r="J112" s="2" t="s">
        <ns0:v>2393</ns0:v>
      </ns0:c>
      <ns0:c r="K112" s="2" t="s">
        <ns0:v>2394</ns0:v>
      </ns0:c>
      <ns0:c r="L112" s="2" t="s">
        <ns0:v>2035</ns0:v>
      </ns0:c>
      <ns0:c r="M112" s="5" t="s">
        <ns0:v>645</ns0:v>
      </ns0:c>
      <ns0:c r="N112" s="7" t="s">
        <ns0:v>646</ns0:v>
      </ns0:c>
      <ns0:c r="O112" s="7" t="s">
        <ns0:v>648</ns0:v>
      </ns0:c>
      <ns0:c r="P112" s="7" t="s">
        <ns0:v>2036</ns0:v>
      </ns0:c>
      <ns0:c r="Q112" s="7" t="s">
        <ns0:v>2376</ns0:v>
      </ns0:c>
      <ns0:c r="R112" s="7" t="s">
        <ns0:v>1981</ns0:v>
      </ns0:c>
      <ns0:c r="S112" s="70" t="str">
        <ns0:v>真相究明×公開裁判×家族の怨恨×兄を断罪したい英雄の妹たち×記憶と証拠の違和感</ns0:v>
      </ns0:c>
      <ns0:c r="T112" s="69" t="str">
        <ns0:v>兄の内面は未確認。虐待者という告発の再検証が中心。</ns0:v>
      </ns0:c>
      <ns0:c r="U112" s="69" t="str">
        <ns0:v>妹たちは兄に屈せず成長し、処罰を求める。</ns0:v>
      </ns0:c>
      <ns0:c r="V112" s="69" t="str">
        <ns0:v>同じ出来事を示すはずの映像が解釈を揺らし、正義の確信に疑問が生じる。</ns0:v>
      </ns0:c>
      <ns0:c r="W112" s="69" t="str">
        <ns0:v>既知の仕打ちの意味が変わる発見と感情の再評価。</ns0:v>
      </ns0:c>
      <ns0:c r="X112" s="69" t="str">
        <ns0:v>告発ごとに新事実と疑問が生まれる構造を明記。</ns0:v>
      </ns0:c>
      <ns0:c r="Y112" s="71" t="str">
        <ns0:v>兄の真意は未開示。実は善人・自己犠牲と先回りしない。</ns0:v>
      </ns0:c>
    </ns0:row>
    <ns0:row r="113" ht="64.05000305175781" customHeight="1">
      <ns0:c r="A113" s="2" t="s">
        <ns0:v>608</ns0:v>
      </ns0:c>
      <ns0:c r="B113" s="4">
        <ns0:v>8</ns0:v>
      </ns0:c>
      <ns0:c r="C113" s="2" t="s">
        <ns0:v>649</ns0:v>
      </ns0:c>
      <ns0:c r="D113" s="6" t="s">
        <ns0:v>2030</ns0:v>
      </ns0:c>
      <ns0:c r="E113" s="6" t="s">
        <ns0:v>2102</ns0:v>
      </ns0:c>
      <ns0:c r="F113" s="6"/>
      <ns0:c r="G113" s="2" t="s">
        <ns0:v>2040</ns0:v>
      </ns0:c>
      <ns0:c r="H113" s="2"/>
      <ns0:c r="I113" s="2" t="s">
        <ns0:v>2395</ns0:v>
      </ns0:c>
      <ns0:c r="J113" s="2" t="s">
        <ns0:v>2396</ns0:v>
      </ns0:c>
      <ns0:c r="K113" s="2" t="s">
        <ns0:v>2397</ns0:v>
      </ns0:c>
      <ns0:c r="L113" s="2" t="s">
        <ns0:v>2035</ns0:v>
      </ns0:c>
      <ns0:c r="M113" s="5" t="s">
        <ns0:v>651</ns0:v>
      </ns0:c>
      <ns0:c r="N113" s="7" t="s">
        <ns0:v>652</ns0:v>
      </ns0:c>
      <ns0:c r="O113" s="7" t="s">
        <ns0:v>654</ns0:v>
      </ns0:c>
      <ns0:c r="P113" s="7" t="s">
        <ns0:v>2036</ns0:v>
      </ns0:c>
      <ns0:c r="Q113" s="7" t="s">
        <ns0:v>2376</ns0:v>
      </ns0:c>
      <ns0:c r="R113" s="7" t="s">
        <ns0:v>1996</ns0:v>
      </ns0:c>
      <ns0:c r="S113" s="73" t="str">
        <ns0:v>才能の実証×資格取得×剣と魔法の両立×普通に受験したい少年×人材を囲い込みたい二勢力</ns0:v>
      </ns0:c>
      <ns0:c r="T113" s="72" t="str">
        <ns0:v>師の正体を知らず、資格取得のつもりで受験する。</ns0:v>
      </ns0:c>
      <ns0:c r="U113" s="72" t="str">
        <ns0:v>二勢力は自陣営の優位を期待し、婚約で取り込もうとする。</ns0:v>
      </ns0:c>
      <ns0:c r="V113" s="72" t="str">
        <ns0:v>本人の小さな目的の成果が、二分された勢力の両方にとって争奪対象になる。</ns0:v>
      </ns0:c>
      <ns0:c r="W113" s="72" t="str">
        <ns0:v>実力の発見と双方が驚く評価の膨張。</ns0:v>
      </ns0:c>
      <ns0:c r="X113" s="72" t="str">
        <ns0:v>試験結果から婚約・勢力間争いへ影響が広がる。</ns0:v>
      </ns0:c>
      <ns0:c r="Y113" s="74" t="str">
        <ns0:v>受験動機と争奪を紹介文で確認。令嬢の性格は未確認。</ns0:v>
      </ns0:c>
    </ns0:row>
    <ns0:row r="114" ht="64.05000305175781" customHeight="1">
      <ns0:c r="A114" s="2" t="s">
        <ns0:v>608</ns0:v>
      </ns0:c>
      <ns0:c r="B114" s="4">
        <ns0:v>9</ns0:v>
      </ns0:c>
      <ns0:c r="C114" s="2" t="s">
        <ns0:v>655</ns0:v>
      </ns0:c>
      <ns0:c r="D114" s="6" t="s">
        <ns0:v>2078</ns0:v>
      </ns0:c>
      <ns0:c r="E114" s="6"/>
      <ns0:c r="F114" s="6"/>
      <ns0:c r="G114" s="2" t="s">
        <ns0:v>2040</ns0:v>
      </ns0:c>
      <ns0:c r="H114" s="2"/>
      <ns0:c r="I114" s="2" t="s">
        <ns0:v>2398</ns0:v>
      </ns0:c>
      <ns0:c r="J114" s="2" t="s">
        <ns0:v>2399</ns0:v>
      </ns0:c>
      <ns0:c r="K114" s="2" t="s">
        <ns0:v>2400</ns0:v>
      </ns0:c>
      <ns0:c r="L114" s="2" t="s">
        <ns0:v>2035</ns0:v>
      </ns0:c>
      <ns0:c r="M114" s="5" t="s">
        <ns0:v>657</ns0:v>
      </ns0:c>
      <ns0:c r="N114" s="7" t="s">
        <ns0:v>658</ns0:v>
      </ns0:c>
      <ns0:c r="O114" s="7" t="s">
        <ns0:v>660</ns0:v>
      </ns0:c>
      <ns0:c r="P114" s="7" t="s">
        <ns0:v>2036</ns0:v>
      </ns0:c>
      <ns0:c r="Q114" s="7" t="s">
        <ns0:v>2376</ns0:v>
      </ns0:c>
      <ns0:c r="R114" s="7" t="s">
        <ns0:v>1935</ns0:v>
      </ns0:c>
      <ns0:c r="S114" s="70" t="str">
        <ns0:v>修行×魔法の極致×頑丈な肉体×才能不足×諦めず無茶を重ねる主人公</ns0:v>
      </ns0:c>
      <ns0:c r="T114" s="69" t="str">
        <ns0:v>万能の魔法使いに執着し、極端な鍛錬を続ける。</ns0:v>
      </ns0:c>
      <ns0:c r="U114" s="69" t="str">
        <ns0:v>主要な相手役の性格は未確認。</ns0:v>
      </ns0:c>
      <ns0:c r="V114" s="69" t="str">
        <ns0:v>肉体という別分野の才能を練習耐性へ転用し、欲しかった魔法の才能を後から作る。</ns0:v>
      </ns0:c>
      <ns0:c r="W114" s="69" t="str">
        <ns0:v>向いていない夢を工夫と執念で実現する快感。</ns0:v>
      </ns0:c>
      <ns0:c r="X114" s="69" t="str">
        <ns0:v>魔法分野の拡張を志す。周囲との関係変化は未確認。</ns0:v>
      </ns0:c>
      <ns0:c r="Y114" s="71" t="str">
        <ns0:v>魔力切れや反動に耐える身体の用途が根拠。</ns0:v>
      </ns0:c>
    </ns0:row>
    <ns0:row r="115" ht="82.05000305175781" customHeight="1">
      <ns0:c r="A115" s="2" t="s">
        <ns0:v>608</ns0:v>
      </ns0:c>
      <ns0:c r="B115" s="4">
        <ns0:v>10</ns0:v>
      </ns0:c>
      <ns0:c r="C115" s="2" t="s">
        <ns0:v>661</ns0:v>
      </ns0:c>
      <ns0:c r="D115" s="6" t="s">
        <ns0:v>2118</ns0:v>
      </ns0:c>
      <ns0:c r="E115" s="6" t="s">
        <ns0:v>2039</ns0:v>
      </ns0:c>
      <ns0:c r="F115" s="6" t="s">
        <ns0:v>2063</ns0:v>
      </ns0:c>
      <ns0:c r="G115" s="2" t="s">
        <ns0:v>2040</ns0:v>
      </ns0:c>
      <ns0:c r="H115" s="2"/>
      <ns0:c r="I115" s="2" t="s">
        <ns0:v>2401</ns0:v>
      </ns0:c>
      <ns0:c r="J115" s="2" t="s">
        <ns0:v>2402</ns0:v>
      </ns0:c>
      <ns0:c r="K115" s="2" t="s">
        <ns0:v>2403</ns0:v>
      </ns0:c>
      <ns0:c r="L115" s="2" t="s">
        <ns0:v>2035</ns0:v>
      </ns0:c>
      <ns0:c r="M115" s="5" t="s">
        <ns0:v>663</ns0:v>
      </ns0:c>
      <ns0:c r="N115" s="7" t="s">
        <ns0:v>664</ns0:v>
      </ns0:c>
      <ns0:c r="O115" s="7" t="s">
        <ns0:v>666</ns0:v>
      </ns0:c>
      <ns0:c r="P115" s="7" t="s">
        <ns0:v>2036</ns0:v>
      </ns0:c>
      <ns0:c r="Q115" s="7" t="s">
        <ns0:v>2376</ns0:v>
      </ns0:c>
      <ns0:c r="R115" s="7" t="s">
        <ns0:v>1979</ns0:v>
      </ns0:c>
      <ns0:c r="S115" s="73" t="str">
        <ns0:v>復旧・開拓×捨てられた物の強化×追放×信頼を貫く幼馴染×居場所を失った人々</ns0:v>
      </ns0:c>
      <ns0:c r="T115" s="72" t="str">
        <ns0:v>捨てられた物を再生して生活を作る。詳細性格未確認。</ns0:v>
      </ns0:c>
      <ns0:c r="U115" s="72" t="str">
        <ns0:v>幼馴染は多数に反対し同行。他の住人も排除された境遇。</ns0:v>
      </ns0:c>
      <ns0:c r="V115" s="72" t="str">
        <ns0:v>主人公自身の排除と物の再価値化が重なり、信じた相手と新しい居場所を作る。</ns0:v>
      </ns0:c>
      <ns0:c r="W115" s="72" t="str">
        <ns0:v>不要扱いされた者の回復と揺るがない味方の安心。</ns0:v>
      </ns0:c>
      <ns0:c r="X115" s="72" t="str">
        <ns0:v>井戸・家・武器・乗り物・住人と再生対象が増える。</ns0:v>
      </ns0:c>
      <ns0:c r="Y115" s="74" t="str">
        <ns0:v>幼馴染の発言が信頼の根拠。人への能力適用の詳細は未確認。</ns0:v>
      </ns0:c>
    </ns0:row>
    <ns0:row r="116" ht="82.05000305175781" customHeight="1">
      <ns0:c r="A116" s="2" t="s">
        <ns0:v>608</ns0:v>
      </ns0:c>
      <ns0:c r="B116" s="4">
        <ns0:v>11</ns0:v>
      </ns0:c>
      <ns0:c r="C116" s="2" t="s">
        <ns0:v>667</ns0:v>
      </ns0:c>
      <ns0:c r="D116" s="6" t="s">
        <ns0:v>2151</ns0:v>
      </ns0:c>
      <ns0:c r="E116" s="6" t="s">
        <ns0:v>2039</ns0:v>
      </ns0:c>
      <ns0:c r="F116" s="6"/>
      <ns0:c r="G116" s="2" t="s">
        <ns0:v>2040</ns0:v>
      </ns0:c>
      <ns0:c r="H116" s="2"/>
      <ns0:c r="I116" s="2" t="s">
        <ns0:v>2404</ns0:v>
      </ns0:c>
      <ns0:c r="J116" s="2" t="s">
        <ns0:v>2405</ns0:v>
      </ns0:c>
      <ns0:c r="K116" s="2" t="s">
        <ns0:v>2406</ns0:v>
      </ns0:c>
      <ns0:c r="L116" s="2" t="s">
        <ns0:v>2035</ns0:v>
      </ns0:c>
      <ns0:c r="M116" s="5" t="s">
        <ns0:v>669</ns0:v>
      </ns0:c>
      <ns0:c r="N116" s="7" t="s">
        <ns0:v>670</ns0:v>
      </ns0:c>
      <ns0:c r="O116" s="7" t="s">
        <ns0:v>672</ns0:v>
      </ns0:c>
      <ns0:c r="P116" s="7" t="s">
        <ns0:v>2036</ns0:v>
      </ns0:c>
      <ns0:c r="Q116" s="7" t="s">
        <ns0:v>2376</ns0:v>
      </ns0:c>
      <ns0:c r="R116" s="7" t="s">
        <ns0:v>1986</ns0:v>
      </ns0:c>
      <ns0:c r="S116" s="70" t="str">
        <ns0:v>交流×領地形成×魔獣との意思疎通×破滅を避け品行方正に生きたい主人公×体裁重視の父</ns0:v>
      </ns0:c>
      <ns0:c r="T116" s="69" t="str">
        <ns0:v>実家から距離を取り、悪事を避けたい。</ns0:v>
      </ns0:c>
      <ns0:c r="U116" s="69" t="str">
        <ns0:v>父は体裁を重視。魔獣は理解されると懐く。個別性格未確認。</ns0:v>
      </ns0:c>
      <ns0:c r="V116" s="69" t="str">
        <ns0:v>人間には無価値と見られた会話が、理解されない強者との信頼と軍事力を生む。</ns0:v>
      </ns0:c>
      <ns0:c r="W116" s="69" t="str">
        <ns0:v>意思疎通による仲間獲得と評価逆転。</ns0:v>
      </ns0:c>
      <ns0:c r="X116" s="69" t="str">
        <ns0:v>交流の蓄積が独立領地の力へ変わる。</ns0:v>
      </ns0:c>
      <ns0:c r="Y116" s="71" t="str">
        <ns0:v>会話の真価と父の価値観を紹介文で確認。</ns0:v>
      </ns0:c>
    </ns0:row>
    <ns0:row r="117" ht="64.05000305175781" customHeight="1">
      <ns0:c r="A117" s="2" t="s">
        <ns0:v>608</ns0:v>
      </ns0:c>
      <ns0:c r="B117" s="4">
        <ns0:v>12</ns0:v>
      </ns0:c>
      <ns0:c r="C117" s="2" t="s">
        <ns0:v>673</ns0:v>
      </ns0:c>
      <ns0:c r="D117" s="6" t="s">
        <ns0:v>2039</ns0:v>
      </ns0:c>
      <ns0:c r="E117" s="6" t="s">
        <ns0:v>2407</ns0:v>
      </ns0:c>
      <ns0:c r="F117" s="6" t="s">
        <ns0:v>2102</ns0:v>
      </ns0:c>
      <ns0:c r="G117" s="2" t="s">
        <ns0:v>2040</ns0:v>
      </ns0:c>
      <ns0:c r="H117" s="2"/>
      <ns0:c r="I117" s="2" t="s">
        <ns0:v>2408</ns0:v>
      </ns0:c>
      <ns0:c r="J117" s="2" t="s">
        <ns0:v>2409</ns0:v>
      </ns0:c>
      <ns0:c r="K117" s="2" t="s">
        <ns0:v>2410</ns0:v>
      </ns0:c>
      <ns0:c r="L117" s="2" t="s">
        <ns0:v>2035</ns0:v>
      </ns0:c>
      <ns0:c r="M117" s="5" t="s">
        <ns0:v>675</ns0:v>
      </ns0:c>
      <ns0:c r="N117" s="7" t="s">
        <ns0:v>676</ns0:v>
      </ns0:c>
      <ns0:c r="O117" s="7" t="s">
        <ns0:v>678</ns0:v>
      </ns0:c>
      <ns0:c r="P117" s="7" t="s">
        <ns0:v>2036</ns0:v>
      </ns0:c>
      <ns0:c r="Q117" s="7" t="s">
        <ns0:v>2376</ns0:v>
      </ns0:c>
      <ns0:c r="R117" s="7" t="s">
        <ns0:v>1961</ns0:v>
      </ns0:c>
      <ns0:c r="S117" s="73" t="str">
        <ns0:v>領地経営×陣取り×夫婦関係×疲弊する努力家の領主×原作にいない有能な妻</ns0:v>
      </ns0:c>
      <ns0:c r="T117" s="72" t="str">
        <ns0:v>努力して領地を支え、過酷さに疲れている。</ns0:v>
      </ns0:c>
      <ns0:c r="U117" s="72" t="str">
        <ns0:v>妻の力を強調。性格は未確認、溺愛はタグで対象の細部不明。</ns0:v>
      </ns0:c>
      <ns0:c r="V117" s="72" t="str">
        <ns0:v>攻略知識と努力で行き詰まる中、知識の外にいる伴侶が状況を変える。</ns0:v>
      </ns0:c>
      <ns0:c r="W117" s="72" t="str">
        <ns0:v>共に担う相手を得る安心と既知の世界への疑問。</ns0:v>
      </ns0:c>
      <ns0:c r="X117" s="72" t="str">
        <ns0:v>妻を迎えて環境が変化。具体的な支援方法は未確認。</ns0:v>
      </ns0:c>
      <ns0:c r="Y117" s="74" t="str">
        <ns0:v>嫁チートはキャッチ。妻を献身的・ヤンデレなどと補完しない。</ns0:v>
      </ns0:c>
    </ns0:row>
    <ns0:row r="118" ht="67.95" customHeight="1">
      <ns0:c r="A118" s="2" t="s">
        <ns0:v>608</ns0:v>
      </ns0:c>
      <ns0:c r="B118" s="4">
        <ns0:v>13</ns0:v>
      </ns0:c>
      <ns0:c r="C118" s="2" t="s">
        <ns0:v>679</ns0:v>
      </ns0:c>
      <ns0:c r="D118" s="6" t="s">
        <ns0:v>2030</ns0:v>
      </ns0:c>
      <ns0:c r="E118" s="6" t="s">
        <ns0:v>2044</ns0:v>
      </ns0:c>
      <ns0:c r="F118" s="6"/>
      <ns0:c r="G118" s="2" t="s">
        <ns0:v>2040</ns0:v>
      </ns0:c>
      <ns0:c r="H118" s="2"/>
      <ns0:c r="I118" s="2" t="s">
        <ns0:v>2411</ns0:v>
      </ns0:c>
      <ns0:c r="J118" s="2" t="s">
        <ns0:v>2412</ns0:v>
      </ns0:c>
      <ns0:c r="K118" s="2" t="s">
        <ns0:v>2413</ns0:v>
      </ns0:c>
      <ns0:c r="L118" s="2" t="s">
        <ns0:v>2035</ns0:v>
      </ns0:c>
      <ns0:c r="M118" s="5" t="s">
        <ns0:v>681</ns0:v>
      </ns0:c>
      <ns0:c r="N118" s="7" t="s">
        <ns0:v>682</ns0:v>
      </ns0:c>
      <ns0:c r="O118" s="7" t="s">
        <ns0:v>684</ns0:v>
      </ns0:c>
      <ns0:c r="P118" s="7" t="s">
        <ns0:v>2036</ns0:v>
      </ns0:c>
      <ns0:c r="Q118" s="7" t="s">
        <ns0:v>2376</ns0:v>
      </ns0:c>
      <ns0:c r="R118" s="7" t="s">
        <ns0:v>1968</ns0:v>
      </ns0:c>
      <ns0:c r="S118" s="70" t="str">
        <ns0:v>再挑戦×無自覚の剣技×中年×若者を戒めたい主人公×生意気で勧誘に熱心な姫騎士</ns0:v>
      </ns0:c>
      <ns0:c r="T118" s="69" t="str">
        <ns0:v>自分を普通と思い、威勢のよい若者を諭す。</ns0:v>
      </ns0:c>
      <ns0:c r="U118" s="69" t="str">
        <ns0:v>姫騎士は挑発的に誘い、敗北後は執拗に勧誘する。</ns0:v>
      </ns0:c>
      <ns0:c r="V118" s="69" t="str">
        <ns0:v>年長者の軽い戒めが都市最強の評価を覆し、諦めた本人にも可能性を返す。</ns0:v>
      </ns0:c>
      <ns0:c r="W118" s="69" t="str">
        <ns0:v>生意気な強者の驚きと遅い再出発の希望。</ns0:v>
      </ns0:c>
      <ns0:c r="X118" s="69" t="str">
        <ns0:v>田舎の経験から最前線へ戻ると予告。</ns0:v>
      </ns0:c>
      <ns0:c r="Y118" s="71" t="str">
        <ns0:v>対決後の勧誘は確認。恋愛的執着の程度は未確認。</ns0:v>
      </ns0:c>
    </ns0:row>
    <ns0:row r="119" ht="67.95" customHeight="1">
      <ns0:c r="A119" s="2" t="s">
        <ns0:v>608</ns0:v>
      </ns0:c>
      <ns0:c r="B119" s="4">
        <ns0:v>14</ns0:v>
      </ns0:c>
      <ns0:c r="C119" s="2" t="s">
        <ns0:v>685</ns0:v>
      </ns0:c>
      <ns0:c r="D119" s="6" t="s">
        <ns0:v>2054</ns0:v>
      </ns0:c>
      <ns0:c r="E119" s="6" t="s">
        <ns0:v>2030</ns0:v>
      </ns0:c>
      <ns0:c r="F119" s="6"/>
      <ns0:c r="G119" s="2" t="s">
        <ns0:v>2040</ns0:v>
      </ns0:c>
      <ns0:c r="H119" s="2"/>
      <ns0:c r="I119" s="2" t="s">
        <ns0:v>2414</ns0:v>
      </ns0:c>
      <ns0:c r="J119" s="2" t="s">
        <ns0:v>2415</ns0:v>
      </ns0:c>
      <ns0:c r="K119" s="2" t="s">
        <ns0:v>2416</ns0:v>
      </ns0:c>
      <ns0:c r="L119" s="2" t="s">
        <ns0:v>2035</ns0:v>
      </ns0:c>
      <ns0:c r="M119" s="5" t="s">
        <ns0:v>687</ns0:v>
      </ns0:c>
      <ns0:c r="N119" s="7" t="s">
        <ns0:v>688</ns0:v>
      </ns0:c>
      <ns0:c r="O119" s="7" t="s">
        <ns0:v>690</ns0:v>
      </ns0:c>
      <ns0:c r="P119" s="7" t="s">
        <ns0:v>2036</ns0:v>
      </ns0:c>
      <ns0:c r="Q119" s="7" t="s">
        <ns0:v>2376</ns0:v>
      </ns0:c>
      <ns0:c r="R119" s="7" t="s">
        <ns0:v>1907</ns0:v>
      </ns0:c>
      <ns0:c r="S119" s="73" t="str">
        <ns0:v>冒険×人生の再出発×記録されない功績×誇り高くお人好しの中年×背中を押す理解者</ns0:v>
      </ns0:c>
      <ns0:c r="T119" s="72" t="str">
        <ns0:v>優しく、手柄を譲り人を支えるため評価を得てこなかった。</ns0:v>
      </ns0:c>
      <ns0:c r="U119" s="72" t="str">
        <ns0:v>旧仲間らは真価を知り、自分の冒険へ送り出す。</ns0:v>
      </ns0:c>
      <ns0:c r="V119" s="72" t="str">
        <ns0:v>低い階位の理由が無能ではなく他者優先にあり、今度はその人が自分の望みへ進む。</ns0:v>
      </ns0:c>
      <ns0:c r="W119" s="72" t="str">
        <ns0:v>人知れぬ貢献の承認と残された時間への希望。</ns0:v>
      </ns0:c>
      <ns0:c r="X119" s="72" t="str">
        <ns0:v>大迷宮への挑戦を予告。本人のお人好しは続く含み。</ns0:v>
      </ns0:c>
      <ns0:c r="Y119" s="74" t="str">
        <ns0:v>追放ではなく後押し。クビという言葉の文脈も紹介文で確認。</ns0:v>
      </ns0:c>
    </ns0:row>
    <ns0:row r="120" ht="67.95" customHeight="1">
      <ns0:c r="A120" s="2" t="s">
        <ns0:v>608</ns0:v>
      </ns0:c>
      <ns0:c r="B120" s="4">
        <ns0:v>15</ns0:v>
      </ns0:c>
      <ns0:c r="C120" s="2" t="s">
        <ns0:v>691</ns0:v>
      </ns0:c>
      <ns0:c r="D120" s="6" t="s">
        <ns0:v>2117</ns0:v>
      </ns0:c>
      <ns0:c r="E120" s="6" t="s">
        <ns0:v>2039</ns0:v>
      </ns0:c>
      <ns0:c r="F120" s="6" t="s">
        <ns0:v>2118</ns0:v>
      </ns0:c>
      <ns0:c r="G120" s="2" t="s">
        <ns0:v>2040</ns0:v>
      </ns0:c>
      <ns0:c r="H120" s="2"/>
      <ns0:c r="I120" s="2" t="s">
        <ns0:v>2417</ns0:v>
      </ns0:c>
      <ns0:c r="J120" s="2" t="s">
        <ns0:v>2418</ns0:v>
      </ns0:c>
      <ns0:c r="K120" s="2" t="s">
        <ns0:v>2419</ns0:v>
      </ns0:c>
      <ns0:c r="L120" s="2" t="s">
        <ns0:v>2035</ns0:v>
      </ns0:c>
      <ns0:c r="M120" s="5" t="s">
        <ns0:v>693</ns0:v>
      </ns0:c>
      <ns0:c r="N120" s="7" t="s">
        <ns0:v>694</ns0:v>
      </ns0:c>
      <ns0:c r="O120" s="7" t="s">
        <ns0:v>696</ns0:v>
      </ns0:c>
      <ns0:c r="P120" s="7" t="s">
        <ns0:v>2036</ns0:v>
      </ns0:c>
      <ns0:c r="Q120" s="7" t="s">
        <ns0:v>2376</ns0:v>
      </ns0:c>
      <ns0:c r="R120" s="7" t="s">
        <ns0:v>1929</ns0:v>
      </ns0:c>
      <ns0:c r="S120" s="70" t="str">
        <ns0:v>領地経営×人材再生×自己利益志向の元被搾取者×待遇差への感謝×多様な技能人材</ns0:v>
      </ns0:c>
      <ns0:c r="T120" s="69" t="str">
        <ns0:v>使われる側を嫌い、低コストで楽をしたい。</ns0:v>
      </ns0:c>
      <ns0:c r="U120" s="69" t="str">
        <ns0:v>行き場を失った人材が待遇に感謝し、力を取り戻す。</ns0:v>
      </ns0:c>
      <ns0:c r="V120" s="69" t="str">
        <ns0:v>自己防衛の雇用管理が異世界では救済となり、本人が思う以上の忠誠と成果を生む。</ns0:v>
      </ns0:c>
      <ns0:c r="W120" s="69" t="str">
        <ns0:v>低評価人材の回復と悪役自己認識のずれ。</ns0:v>
      </ns0:c>
      <ns0:c r="X120" s="69" t="str">
        <ns0:v>屋敷の再建から領地の運営へ広がる。</ns0:v>
      </ns0:c>
      <ns0:c r="Y120" s="71" t="str">
        <ns0:v>給与・住居・薬・書面と受け止めの差が根拠。個々の性格は未確認。</ns0:v>
      </ns0:c>
    </ns0:row>
    <ns0:row r="121" ht="64.05000305175781" customHeight="1">
      <ns0:c r="A121" s="2" t="s">
        <ns0:v>608</ns0:v>
      </ns0:c>
      <ns0:c r="B121" s="4">
        <ns0:v>16</ns0:v>
      </ns0:c>
      <ns0:c r="C121" s="2" t="s">
        <ns0:v>697</ns0:v>
      </ns0:c>
      <ns0:c r="D121" s="6" t="s">
        <ns0:v>2082</ns0:v>
      </ns0:c>
      <ns0:c r="E121" s="6" t="s">
        <ns0:v>2063</ns0:v>
      </ns0:c>
      <ns0:c r="F121" s="6"/>
      <ns0:c r="G121" s="2" t="s">
        <ns0:v>2040</ns0:v>
      </ns0:c>
      <ns0:c r="H121" s="2"/>
      <ns0:c r="I121" s="2" t="s">
        <ns0:v>2420</ns0:v>
      </ns0:c>
      <ns0:c r="J121" s="2" t="s">
        <ns0:v>2421</ns0:v>
      </ns0:c>
      <ns0:c r="K121" s="2" t="s">
        <ns0:v>2422</ns0:v>
      </ns0:c>
      <ns0:c r="L121" s="2" t="s">
        <ns0:v>2035</ns0:v>
      </ns0:c>
      <ns0:c r="M121" s="5" t="s">
        <ns0:v>699</ns0:v>
      </ns0:c>
      <ns0:c r="N121" s="7" t="s">
        <ns0:v>700</ns0:v>
      </ns0:c>
      <ns0:c r="O121" s="7" t="s">
        <ns0:v>702</ns0:v>
      </ns0:c>
      <ns0:c r="P121" s="7" t="s">
        <ns0:v>2036</ns0:v>
      </ns0:c>
      <ns0:c r="Q121" s="7" t="s">
        <ns0:v>2376</ns0:v>
      </ns0:c>
      <ns0:c r="R121" s="7" t="s">
        <ns0:v>1945</ns0:v>
      </ns0:c>
      <ns0:c r="S121" s="73" t="str">
        <ns0:v>酒場の仕事×自由な余生×チート×気楽に暮らしたい中年×恐妻家の客×謎の美青年</ns0:v>
      </ns0:c>
      <ns0:c r="T121" s="72" t="str">
        <ns0:v>自分のしたい暮らしを優先し、客にツケを戒める。</ns0:v>
      </ns0:c>
      <ns0:c r="U121" s="72" t="str">
        <ns0:v>肉屋は恐妻家。美青年は場違いな常連だが動機・性格未確認。</ns0:v>
      </ns0:c>
      <ns0:c r="V121" s="72" t="str">
        <ns0:v>大きな力を持つ人の小さな酒場生活に、客の身近な悩みと厄介な依頼が入る。</ns0:v>
      </ns0:c>
      <ns0:c r="W121" s="72" t="str">
        <ns0:v>気安い交流と店に通う理由への関心。</ns0:v>
      </ns0:c>
      <ns0:c r="X121" s="72" t="str">
        <ns0:v>常連との生活から依頼へ展開。依頼内容は未確認。</ns0:v>
      </ns0:c>
      <ns0:c r="Y121" s="74" t="str">
        <ns0:v>男中心の酒場と会話は明記。美青年との恋愛は未確定。</ns0:v>
      </ns0:c>
    </ns0:row>
    <ns0:row r="122" ht="64.05000305175781" customHeight="1">
      <ns0:c r="A122" s="2" t="s">
        <ns0:v>608</ns0:v>
      </ns0:c>
      <ns0:c r="B122" s="4">
        <ns0:v>17</ns0:v>
      </ns0:c>
      <ns0:c r="C122" s="2" t="s">
        <ns0:v>703</ns0:v>
      </ns0:c>
      <ns0:c r="D122" s="6" t="s">
        <ns0:v>2030</ns0:v>
      </ns0:c>
      <ns0:c r="E122" s="6" t="s">
        <ns0:v>2077</ns0:v>
      </ns0:c>
      <ns0:c r="F122" s="6"/>
      <ns0:c r="G122" s="9" t="s">
        <ns0:v>2031</ns0:v>
      </ns0:c>
      <ns0:c r="H122" s="9" t="s">
        <ns0:v>2077</ns0:v>
      </ns0:c>
      <ns0:c r="I122" s="2" t="s">
        <ns0:v>2423</ns0:v>
      </ns0:c>
      <ns0:c r="J122" s="2" t="s">
        <ns0:v>2424</ns0:v>
      </ns0:c>
      <ns0:c r="K122" s="2" t="s">
        <ns0:v>2425</ns0:v>
      </ns0:c>
      <ns0:c r="L122" s="2" t="s">
        <ns0:v>2173</ns0:v>
      </ns0:c>
      <ns0:c r="M122" s="5" t="s">
        <ns0:v>705</ns0:v>
      </ns0:c>
      <ns0:c r="N122" s="7" t="s">
        <ns0:v>706</ns0:v>
      </ns0:c>
      <ns0:c r="O122" s="7" t="s">
        <ns0:v>708</ns0:v>
      </ns0:c>
      <ns0:c r="P122" s="7" t="s">
        <ns0:v>2036</ns0:v>
      </ns0:c>
      <ns0:c r="Q122" s="7" t="s">
        <ns0:v>2376</ns0:v>
      </ns0:c>
      <ns0:c r="R122" s="7" t="s">
        <ns0:v>1950</ns0:v>
      </ns0:c>
      <ns0:c r="S122" s="70" t="str">
        <ns0:v>仕事×成り上がり×現代の実務知識×世間知らずの少年×生活保障を求めた予想外の抜擢</ns0:v>
      </ns0:c>
      <ns0:c r="T122" s="69" t="str">
        <ns0:v>当初は贅沢を夢見たが、今は食事と住居を求める。世間知らず。</ns0:v>
      </ns0:c>
      <ns0:c r="U122" s="69" t="str">
        <ns0:v>第四王女の性格は未確認。</ns0:v>
      </ns0:c>
      <ns0:c r="V122" s="69" t="str">
        <ns0:v>派手な転生能力がなくても基礎実務が有用で、最低限の生活を望む受験が宮廷へつながる。</ns0:v>
      </ns0:c>
      <ns0:c r="W122" s="69" t="str">
        <ns0:v>身近な知識の再評価と生活の安定。</ns0:v>
      </ns0:c>
      <ns0:c r="X122" s="69" t="str">
        <ns0:v>王女側近への配属はキャッチ。実務・関係の詳細は未確認。</ns0:v>
      </ns0:c>
      <ns0:c r="Y122" s="71" t="str">
        <ns0:v>世間知らずはキャッチ、食住動機は紹介文。</ns0:v>
      </ns0:c>
    </ns0:row>
    <ns0:row r="123" ht="64.05000305175781" customHeight="1">
      <ns0:c r="A123" s="2" t="s">
        <ns0:v>608</ns0:v>
      </ns0:c>
      <ns0:c r="B123" s="4">
        <ns0:v>18</ns0:v>
      </ns0:c>
      <ns0:c r="C123" s="2" t="s">
        <ns0:v>709</ns0:v>
      </ns0:c>
      <ns0:c r="D123" s="6" t="s">
        <ns0:v>2030</ns0:v>
      </ns0:c>
      <ns0:c r="E123" s="6" t="s">
        <ns0:v>2284</ns0:v>
      </ns0:c>
      <ns0:c r="F123" s="6"/>
      <ns0:c r="G123" s="2" t="s">
        <ns0:v>2040</ns0:v>
      </ns0:c>
      <ns0:c r="H123" s="2"/>
      <ns0:c r="I123" s="2" t="s">
        <ns0:v>2426</ns0:v>
      </ns0:c>
      <ns0:c r="J123" s="2" t="s">
        <ns0:v>2427</ns0:v>
      </ns0:c>
      <ns0:c r="K123" s="2" t="s">
        <ns0:v>2428</ns0:v>
      </ns0:c>
      <ns0:c r="L123" s="2" t="s">
        <ns0:v>2173</ns0:v>
      </ns0:c>
      <ns0:c r="M123" s="5" t="s">
        <ns0:v>711</ns0:v>
      </ns0:c>
      <ns0:c r="N123" s="7" t="s">
        <ns0:v>712</ns0:v>
      </ns0:c>
      <ns0:c r="O123" s="7" t="s">
        <ns0:v>714</ns0:v>
      </ns0:c>
      <ns0:c r="P123" s="7" t="s">
        <ns0:v>2036</ns0:v>
      </ns0:c>
      <ns0:c r="Q123" s="7" t="s">
        <ns0:v>2376</ns0:v>
      </ns0:c>
      <ns0:c r="R123" s="7" t="s">
        <ns0:v>1944</ns0:v>
      </ns0:c>
      <ns0:c r="S123" s="73" t="str">
        <ns0:v>成り上がり×資源感知×知識応用×少女を庇う少年×同じ境遇の仲間×搾取する大人</ns0:v>
      </ns0:c>
      <ns0:c r="T123" s="72" t="str">
        <ns0:v>殴られそうな少女を庇う。その他の性格は未確認。</ns0:v>
      </ns0:c>
      <ns0:c r="U123" s="72" t="str">
        <ns0:v>仲介人は搾取と暴力を行う。少女たちの性格は未確認。</ns0:v>
      </ns0:c>
      <ns0:c r="V123" s="72" t="str">
        <ns0:v>小銭にしかならなかった感知が知識で用途を広げ、同じ境遇の者の脱出手段になる。</ns0:v>
      </ns0:c>
      <ns0:c r="W123" s="72" t="str">
        <ns0:v>使い道を発見する納得と仲間との境遇改善。</ns0:v>
      </ns0:c>
      <ns0:c r="X123" s="72" t="str">
        <ns0:v>能力の進化と仲間の成長を予告。応用詳細は未確認。</ns0:v>
      </ns0:c>
      <ns0:c r="Y123" s="74" t="str">
        <ns0:v>庇う行動と鉄の体内存在は紹介・キャッチ。冷酷な攻撃性は補わない。</ns0:v>
      </ns0:c>
    </ns0:row>
    <ns0:row r="124" ht="64.05000305175781" customHeight="1">
      <ns0:c r="A124" s="2" t="s">
        <ns0:v>608</ns0:v>
      </ns0:c>
      <ns0:c r="B124" s="4">
        <ns0:v>19</ns0:v>
      </ns0:c>
      <ns0:c r="C124" s="2" t="s">
        <ns0:v>715</ns0:v>
      </ns0:c>
      <ns0:c r="D124" s="6" t="s">
        <ns0:v>2174</ns0:v>
      </ns0:c>
      <ns0:c r="E124" s="6" t="s">
        <ns0:v>2077</ns0:v>
      </ns0:c>
      <ns0:c r="F124" s="6" t="s">
        <ns0:v>2151</ns0:v>
      </ns0:c>
      <ns0:c r="G124" s="9" t="s">
        <ns0:v>2031</ns0:v>
      </ns0:c>
      <ns0:c r="H124" s="9" t="s">
        <ns0:v>2077</ns0:v>
      </ns0:c>
      <ns0:c r="I124" s="2" t="s">
        <ns0:v>2429</ns0:v>
      </ns0:c>
      <ns0:c r="J124" s="2" t="s">
        <ns0:v>2430</ns0:v>
      </ns0:c>
      <ns0:c r="K124" s="2" t="s">
        <ns0:v>2431</ns0:v>
      </ns0:c>
      <ns0:c r="L124" s="2" t="s">
        <ns0:v>2035</ns0:v>
      </ns0:c>
      <ns0:c r="M124" s="5" t="s">
        <ns0:v>717</ns0:v>
      </ns0:c>
      <ns0:c r="N124" s="7" t="s">
        <ns0:v>718</ns0:v>
      </ns0:c>
      <ns0:c r="O124" s="7" t="s">
        <ns0:v>720</ns0:v>
      </ns0:c>
      <ns0:c r="P124" s="7" t="s">
        <ns0:v>2036</ns0:v>
      </ns0:c>
      <ns0:c r="Q124" s="7" t="s">
        <ns0:v>2376</ns0:v>
      </ns0:c>
      <ns0:c r="R124" s="7" t="s">
        <ns0:v>1980</ns0:v>
      </ns0:c>
      <ns0:c r="S124" s="70" t="str">
        <ns0:v>契約の仕事×支援停止による再評価×インフラ崩壊×黙々と働く専門家×仕事を軽視する上層部</ns0:v>
      </ns0:c>
      <ns0:c r="T124" s="69" t="str">
        <ns0:v>十年地道に更新し、解雇後は独立する。</ns0:v>
      </ns0:c>
      <ns0:c r="U124" s="69" t="str">
        <ns0:v>上層部は代替可能と軽視。相棒の大魔女の性格未確認。</ns0:v>
      </ns0:c>
      <ns0:c r="V124" s="69" t="str">
        <ns0:v>何も起きない状態を守っていた仕事の価値が、契約の失効で順番に可視化される。</ns0:v>
      </ns0:c>
      <ns0:c r="W124" s="69" t="str">
        <ns0:v>見えない貢献の証明と新天地での技能活用。</ns0:v>
      </ns0:c>
      <ns0:c r="X124" s="69" t="str">
        <ns0:v>期限ごとの失効と個別の契約案件を提示。</ns0:v>
      </ns0:c>
      <ns0:c r="Y124" s="71" t="str">
        <ns0:v>破壊の復讐ではなく更新停止の帰結として紹介。</ns0:v>
      </ns0:c>
    </ns0:row>
    <ns0:row r="125" ht="64.05000305175781" customHeight="1">
      <ns0:c r="A125" s="2" t="s">
        <ns0:v>608</ns0:v>
      </ns0:c>
      <ns0:c r="B125" s="4">
        <ns0:v>20</ns0:v>
      </ns0:c>
      <ns0:c r="C125" s="2" t="s">
        <ns0:v>721</ns0:v>
      </ns0:c>
      <ns0:c r="D125" s="6" t="s">
        <ns0:v>2077</ns0:v>
      </ns0:c>
      <ns0:c r="E125" s="6" t="s">
        <ns0:v>2063</ns0:v>
      </ns0:c>
      <ns0:c r="F125" s="6"/>
      <ns0:c r="G125" s="9" t="s">
        <ns0:v>2059</ns0:v>
      </ns0:c>
      <ns0:c r="H125" s="9" t="s">
        <ns0:v>2077</ns0:v>
      </ns0:c>
      <ns0:c r="I125" s="2" t="s">
        <ns0:v>2432</ns0:v>
      </ns0:c>
      <ns0:c r="J125" s="2" t="s">
        <ns0:v>2433</ns0:v>
      </ns0:c>
      <ns0:c r="K125" s="2" t="s">
        <ns0:v>2434</ns0:v>
      </ns0:c>
      <ns0:c r="L125" s="2" t="s">
        <ns0:v>2035</ns0:v>
      </ns0:c>
      <ns0:c r="M125" s="5" t="s">
        <ns0:v>723</ns0:v>
      </ns0:c>
      <ns0:c r="N125" s="7" t="s">
        <ns0:v>724</ns0:v>
      </ns0:c>
      <ns0:c r="O125" s="7" t="s">
        <ns0:v>726</ns0:v>
      </ns0:c>
      <ns0:c r="P125" s="7" t="s">
        <ns0:v>2036</ns0:v>
      </ns0:c>
      <ns0:c r="Q125" s="7" t="s">
        <ns0:v>2376</ns0:v>
      </ns0:c>
      <ns0:c r="R125" s="7" t="s">
        <ns0:v>1918</ns0:v>
      </ns0:c>
      <ns0:c r="S125" s="73" t="str">
        <ns0:v>宮廷仕事×正体隠し×亡国王子×政争に飽きた現実的な主人公×元許嫁の皇女</ns0:v>
      </ns0:c>
      <ns0:c r="T125" s="72" t="str">
        <ns0:v>復讐より生活を優先し、政治から離れたい。</ns0:v>
      </ns0:c>
      <ns0:c r="U125" s="72" t="str">
        <ns0:v>皇女は昼行燈という評判。実際の性格は未確認。</ns0:v>
      </ns0:c>
      <ns0:c r="V125" s="72" t="str">
        <ns0:v>王族経験で普通に働こうとした能力が、避けたかった王族関係に引き戻す。</ns0:v>
      </ns0:c>
      <ns0:c r="W125" s="72" t="str">
        <ns0:v>小さな願いと抜擢のずれ、元許嫁との再会の気まずさ。</ns0:v>
      </ns0:c>
      <ns0:c r="X125" s="72" t="str">
        <ns0:v>秘書官配属が起点。以後の変奏は紹介文では未確認。</ns0:v>
      </ns0:c>
      <ns0:c r="Y125" s="74" t="str">
        <ns0:v>恨みより食事の動機を確認。評判を真の性格とはしない。</ns0:v>
      </ns0:c>
    </ns0:row>
    <ns0:row r="126" ht="64.05000305175781" customHeight="1">
      <ns0:c r="A126" s="2" t="s">
        <ns0:v>608</ns0:v>
      </ns0:c>
      <ns0:c r="B126" s="4">
        <ns0:v>21</ns0:v>
      </ns0:c>
      <ns0:c r="C126" s="2" t="s">
        <ns0:v>727</ns0:v>
      </ns0:c>
      <ns0:c r="D126" s="6" t="s">
        <ns0:v>2082</ns0:v>
      </ns0:c>
      <ns0:c r="E126" s="6" t="s">
        <ns0:v>2118</ns0:v>
      </ns0:c>
      <ns0:c r="F126" s="6" t="s">
        <ns0:v>2063</ns0:v>
      </ns0:c>
      <ns0:c r="G126" s="2" t="s">
        <ns0:v>2040</ns0:v>
      </ns0:c>
      <ns0:c r="H126" s="2"/>
      <ns0:c r="I126" s="2" t="s">
        <ns0:v>2435</ns0:v>
      </ns0:c>
      <ns0:c r="J126" s="2" t="s">
        <ns0:v>2436</ns0:v>
      </ns0:c>
      <ns0:c r="K126" s="2" t="s">
        <ns0:v>2437</ns0:v>
      </ns0:c>
      <ns0:c r="L126" s="2" t="s">
        <ns0:v>2035</ns0:v>
      </ns0:c>
      <ns0:c r="M126" s="5" t="s">
        <ns0:v>729</ns0:v>
      </ns0:c>
      <ns0:c r="N126" s="7" t="s">
        <ns0:v>730</ns0:v>
      </ns0:c>
      <ns0:c r="O126" s="7" t="s">
        <ns0:v>732</ns0:v>
      </ns0:c>
      <ns0:c r="P126" s="7" t="s">
        <ns0:v>2036</ns0:v>
      </ns0:c>
      <ns0:c r="Q126" s="7" t="s">
        <ns0:v>2376</ns0:v>
      </ns0:c>
      <ns0:c r="R126" s="7" t="s">
        <ns0:v>1947</ns0:v>
      </ns0:c>
      <ns0:c r="S126" s="70" t="str">
        <ns0:v>料理×宿屋再生×生活改善×美味しい飯を望む中年×身寄りのない人を助ける老女</ns0:v>
      </ns0:c>
      <ns0:c r="T126" s="69" t="str">
        <ns0:v>自分も美味しく食べたいと賄い作りを買って出る。</ns0:v>
      </ns0:c>
      <ns0:c r="U126" s="69" t="str">
        <ns0:v>老女は金も身寄りもない主人公を助ける。</ns0:v>
      </ns0:c>
      <ns0:c r="V126" s="69" t="str">
        <ns0:v>個人的な食の不満を直す自炊技能が、恩ある宿と客の満足を支える。</ns0:v>
      </ns0:c>
      <ns0:c r="W126" s="69" t="str">
        <ns0:v>食卓が良くなる実感と温かな受け入れ。</ns0:v>
      </ns0:c>
      <ns0:c r="X126" s="69" t="str">
        <ns0:v>日々の料理改善が評判と客の笑顔へ蓄積する。</ns0:v>
      </ns0:c>
      <ns0:c r="Y126" s="71" t="str">
        <ns0:v>恩返しの明示はなく、動機は食べたい気持ちとして記載。</ns0:v>
      </ns0:c>
    </ns0:row>
    <ns0:row r="127" ht="64.05000305175781" customHeight="1">
      <ns0:c r="A127" s="2" t="s">
        <ns0:v>608</ns0:v>
      </ns0:c>
      <ns0:c r="B127" s="4">
        <ns0:v>22</ns0:v>
      </ns0:c>
      <ns0:c r="C127" s="2" t="s">
        <ns0:v>733</ns0:v>
      </ns0:c>
      <ns0:c r="D127" s="6" t="s">
        <ns0:v>2102</ns0:v>
      </ns0:c>
      <ns0:c r="E127" s="6" t="s">
        <ns0:v>2063</ns0:v>
      </ns0:c>
      <ns0:c r="F127" s="6"/>
      <ns0:c r="G127" s="2" t="s">
        <ns0:v>2040</ns0:v>
      </ns0:c>
      <ns0:c r="H127" s="2"/>
      <ns0:c r="I127" s="2" t="s">
        <ns0:v>2438</ns0:v>
      </ns0:c>
      <ns0:c r="J127" s="2" t="s">
        <ns0:v>2439</ns0:v>
      </ns0:c>
      <ns0:c r="K127" s="2" t="s">
        <ns0:v>2440</ns0:v>
      </ns0:c>
      <ns0:c r="L127" s="2" t="s">
        <ns0:v>2035</ns0:v>
      </ns0:c>
      <ns0:c r="M127" s="5" t="s">
        <ns0:v>734</ns0:v>
      </ns0:c>
      <ns0:c r="N127" s="7" t="s">
        <ns0:v>735</ns0:v>
      </ns0:c>
      <ns0:c r="O127" s="7" t="s">
        <ns0:v>737</ns0:v>
      </ns0:c>
      <ns0:c r="P127" s="7" t="s">
        <ns0:v>2036</ns0:v>
      </ns0:c>
      <ns0:c r="Q127" s="7" t="s">
        <ns0:v>2376</ns0:v>
      </ns0:c>
      <ns0:c r="R127" s="7" t="s">
        <ns0:v>1970</ns0:v>
      </ns0:c>
      <ns0:c r="S127" s="73" t="str">
        <ns0:v>生活再出発×追放の解放感×男女比偏り×痴話喧嘩に疲れた主人公×高飛車・幼稚・わがままな旧仲間</ns0:v>
      </ns0:c>
      <ns0:c r="T127" s="72" t="str">
        <ns0:v>旧仲間の喧嘩を嫌い、追放を喜んで受け入れる。</ns0:v>
      </ns0:c>
      <ns0:c r="U127" s="72" t="str">
        <ns0:v>旧仲間は高飛車・幼い考え・わがままと個別に記載。</ns0:v>
      </ns0:c>
      <ns0:c r="V127" s="72" t="str">
        <ns0:v>追放を失恋や敗北として受け取らず、煩わしい関係から好都合な場所へ移る自由とする。</ns0:v>
      </ns0:c>
      <ns0:c r="W127" s="72" t="str">
        <ns0:v>厄介な人間関係からの解放と新天地での需要。</ns0:v>
      </ns0:c>
      <ns0:c r="X127" s="72" t="str">
        <ns0:v>新集落でのハーレム生活を予告。新相手の性格は未確認。</ns0:v>
      </ns0:c>
      <ns0:c r="Y127" s="74" t="str">
        <ns0:v>旧仲間への評価は紹介文に明記。新集落の全女性の性格は補わない。</ns0:v>
      </ns0:c>
    </ns0:row>
    <ns0:row r="128" ht="64.05000305175781" customHeight="1">
      <ns0:c r="A128" s="2" t="s">
        <ns0:v>608</ns0:v>
      </ns0:c>
      <ns0:c r="B128" s="4">
        <ns0:v>23</ns0:v>
      </ns0:c>
      <ns0:c r="C128" s="2" t="s">
        <ns0:v>738</ns0:v>
      </ns0:c>
      <ns0:c r="D128" s="6" t="s">
        <ns0:v>2050</ns0:v>
      </ns0:c>
      <ns0:c r="E128" s="6" t="s">
        <ns0:v>2044</ns0:v>
      </ns0:c>
      <ns0:c r="F128" s="6" t="s">
        <ns0:v>2102</ns0:v>
      </ns0:c>
      <ns0:c r="G128" s="2" t="s">
        <ns0:v>2040</ns0:v>
      </ns0:c>
      <ns0:c r="H128" s="2"/>
      <ns0:c r="I128" s="2" t="s">
        <ns0:v>2441</ns0:v>
      </ns0:c>
      <ns0:c r="J128" s="2" t="s">
        <ns0:v>2442</ns0:v>
      </ns0:c>
      <ns0:c r="K128" s="2" t="s">
        <ns0:v>2443</ns0:v>
      </ns0:c>
      <ns0:c r="L128" s="2" t="s">
        <ns0:v>2035</ns0:v>
      </ns0:c>
      <ns0:c r="M128" s="5" t="s">
        <ns0:v>740</ns0:v>
      </ns0:c>
      <ns0:c r="N128" s="7" t="s">
        <ns0:v>741</ns0:v>
      </ns0:c>
      <ns0:c r="O128" s="7" t="s">
        <ns0:v>743</ns0:v>
      </ns0:c>
      <ns0:c r="P128" s="7" t="s">
        <ns0:v>2036</ns0:v>
      </ns0:c>
      <ns0:c r="Q128" s="7" t="s">
        <ns0:v>2376</ns0:v>
      </ns0:c>
      <ns0:c r="R128" s="7" t="s">
        <ns0:v>1925</ns0:v>
      </ns0:c>
      <ns0:c r="S128" s="70" t="str">
        <ns0:v>救済×ゲーム攻略×男女比逆転×重度のゲーム脳×相手をNPCと思う主人公×好意を強める女性たち</ns0:v>
      </ns0:c>
      <ns0:c r="T128" s="69" t="str">
        <ns0:v>推しを救いたいが、人々をプログラムと誤認する。</ns0:v>
      </ns0:c>
      <ns0:c r="U128" s="69" t="str">
        <ns0:v>女性たちは紳士的な救助と甘い言葉で恋心を強める。</ns0:v>
      </ns0:c>
      <ns0:c r="V128" s="69" t="str">
        <ns0:v>本人には定型対応の言葉と行動が、相手には実在の強い好意として届く。</ns0:v>
      </ns0:c>
      <ns0:c r="W128" s="69" t="str">
        <ns0:v>無自覚な口説きと恋愛感情の読み違い。</ns0:v>
      </ns0:c>
      <ns0:c r="X128" s="69" t="str">
        <ns0:v>救助の相手が増えても反応をバグと処理する構図。</ns0:v>
      </ns0:c>
      <ns0:c r="Y128" s="71" t="str">
        <ns0:v>ゲーム脳と誤認は明記。個々の女性のヤンデレ行動は未確認。</ns0:v>
      </ns0:c>
    </ns0:row>
    <ns0:row r="129" ht="64.05000305175781" customHeight="1">
      <ns0:c r="A129" s="2" t="s">
        <ns0:v>608</ns0:v>
      </ns0:c>
      <ns0:c r="B129" s="4">
        <ns0:v>24</ns0:v>
      </ns0:c>
      <ns0:c r="C129" s="2" t="s">
        <ns0:v>744</ns0:v>
      </ns0:c>
      <ns0:c r="D129" s="6" t="s">
        <ns0:v>2039</ns0:v>
      </ns0:c>
      <ns0:c r="E129" s="6" t="s">
        <ns0:v>2102</ns0:v>
      </ns0:c>
      <ns0:c r="F129" s="6" t="s">
        <ns0:v>2109</ns0:v>
      </ns0:c>
      <ns0:c r="G129" s="9" t="s">
        <ns0:v>2031</ns0:v>
      </ns0:c>
      <ns0:c r="H129" s="9" t="s">
        <ns0:v>2109</ns0:v>
      </ns0:c>
      <ns0:c r="I129" s="2" t="s">
        <ns0:v>2444</ns0:v>
      </ns0:c>
      <ns0:c r="J129" s="2" t="s">
        <ns0:v>2445</ns0:v>
      </ns0:c>
      <ns0:c r="K129" s="2" t="s">
        <ns0:v>2446</ns0:v>
      </ns0:c>
      <ns0:c r="L129" s="2" t="s">
        <ns0:v>2035</ns0:v>
      </ns0:c>
      <ns0:c r="M129" s="5" t="s">
        <ns0:v>746</ns0:v>
      </ns0:c>
      <ns0:c r="N129" s="7" t="s">
        <ns0:v>747</ns0:v>
      </ns0:c>
      <ns0:c r="O129" s="7" t="s">
        <ns0:v>749</ns0:v>
      </ns0:c>
      <ns0:c r="P129" s="7" t="s">
        <ns0:v>2036</ns0:v>
      </ns0:c>
      <ns0:c r="Q129" s="7" t="s">
        <ns0:v>2376</ns0:v>
      </ns0:c>
      <ns0:c r="R129" s="7" t="s">
        <ns0:v>1977</ns0:v>
      </ns0:c>
      <ns0:c r="S129" s="73" t="str">
        <ns0:v>統治改革×RPGのお約束批判×管理職経験×常識を問い直す王×癖の強い王妃たち</ns0:v>
      </ns0:c>
      <ns0:c r="T129" s="72" t="str">
        <ns0:v>慣例に疑問を持ち、制度を改めようとする。</ns0:v>
      </ns0:c>
      <ns0:c r="U129" s="72" t="str">
        <ns0:v>大臣は昼行燈、第三王妃は甘い外見で頭が切れる。他二人の性格は限定的。</ns0:v>
      </ns0:c>
      <ns0:c r="V129" s="72" t="str">
        <ns0:v>ゲームでは当然の仕組みを統治責任の目で見ると問題になり、改革自体が笑いの対象になる。</ns0:v>
      </ns0:c>
      <ns0:c r="W129" s="72" t="str">
        <ns0:v>お約束の見直しへの納得と有能な周囲との掛け合い。</ns0:v>
      </ns0:c>
      <ns0:c r="X129" s="72" t="str">
        <ns0:v>勇者・迷宮・組合など制度ごとに改革対象が変わる。</ns0:v>
      </ns0:c>
      <ns0:c r="Y129" s="74" t="str">
        <ns0:v>具体的な改革方針と王妃の紹介が根拠。</ns0:v>
      </ns0:c>
    </ns0:row>
    <ns0:row r="130" ht="67.95" customHeight="1">
      <ns0:c r="A130" s="2" t="s">
        <ns0:v>608</ns0:v>
      </ns0:c>
      <ns0:c r="B130" s="4">
        <ns0:v>25</ns0:v>
      </ns0:c>
      <ns0:c r="C130" s="2" t="s">
        <ns0:v>750</ns0:v>
      </ns0:c>
      <ns0:c r="D130" s="6" t="s">
        <ns0:v>2044</ns0:v>
      </ns0:c>
      <ns0:c r="E130" s="6"/>
      <ns0:c r="F130" s="6"/>
      <ns0:c r="G130" s="2" t="s">
        <ns0:v>2040</ns0:v>
      </ns0:c>
      <ns0:c r="H130" s="2"/>
      <ns0:c r="I130" s="2" t="s">
        <ns0:v>2447</ns0:v>
      </ns0:c>
      <ns0:c r="J130" s="2" t="s">
        <ns0:v>2448</ns0:v>
      </ns0:c>
      <ns0:c r="K130" s="2" t="s">
        <ns0:v>2449</ns0:v>
      </ns0:c>
      <ns0:c r="L130" s="2" t="s">
        <ns0:v>2035</ns0:v>
      </ns0:c>
      <ns0:c r="M130" s="5" t="s">
        <ns0:v>752</ns0:v>
      </ns0:c>
      <ns0:c r="N130" s="7" t="s">
        <ns0:v>753</ns0:v>
      </ns0:c>
      <ns0:c r="O130" s="7" t="s">
        <ns0:v>755</ns0:v>
      </ns0:c>
      <ns0:c r="P130" s="7" t="s">
        <ns0:v>2036</ns0:v>
      </ns0:c>
      <ns0:c r="Q130" s="7" t="s">
        <ns0:v>2376</ns0:v>
      </ns0:c>
      <ns0:c r="R130" s="7" t="s">
        <ns0:v>2001</ns0:v>
      </ns0:c>
      <ns0:c r="S130" s="70" t="str">
        <ns0:v>世界救済×歴代ボス攻略×全シリーズ知識×危機に立ち向かう悪役転生者×本来の勝利がない世界</ns0:v>
      </ns0:c>
      <ns0:c r="T130" s="69" t="str">
        <ns0:v>危機を知り、自分と世界を救うため動く決意をする。</ns0:v>
      </ns0:c>
      <ns0:c r="U130" s="69" t="str">
        <ns0:v>歴代ボスの個別性格は未確認。</ns0:v>
      </ns0:c>
      <ns0:c r="V130" s="69" t="str">
        <ns0:v>自分の悪役ルート以上に大きな失敗が蓄積した世界で、シリーズ横断の知識が必要になる。</ns0:v>
      </ns0:c>
      <ns0:c r="W130" s="69" t="str">
        <ns0:v>歴代強敵に対する攻略と広い知識が役立つ高揚。</ns0:v>
      </ns0:c>
      <ns0:c r="X130" s="69" t="str">
        <ns0:v>複数ボスを倒す段階性を明記。知識後の変化は未確認。</ns0:v>
      </ns0:c>
      <ns0:c r="Y130" s="71" t="str">
        <ns0:v>ボス未討伐と知識の射程が根拠。固有の対人性格は未確認。</ns0:v>
      </ns0:c>
    </ns0:row>
    <ns0:row r="131" ht="64.05000305175781" customHeight="1">
      <ns0:c r="A131" s="2" t="s">
        <ns0:v>608</ns0:v>
      </ns0:c>
      <ns0:c r="B131" s="4">
        <ns0:v>26</ns0:v>
      </ns0:c>
      <ns0:c r="C131" s="2" t="s">
        <ns0:v>756</ns0:v>
      </ns0:c>
      <ns0:c r="D131" s="6" t="s">
        <ns0:v>2030</ns0:v>
      </ns0:c>
      <ns0:c r="E131" s="6"/>
      <ns0:c r="F131" s="6"/>
      <ns0:c r="G131" s="2" t="s">
        <ns0:v>2040</ns0:v>
      </ns0:c>
      <ns0:c r="H131" s="2"/>
      <ns0:c r="I131" s="2" t="s">
        <ns0:v>2450</ns0:v>
      </ns0:c>
      <ns0:c r="J131" s="2" t="s">
        <ns0:v>2451</ns0:v>
      </ns0:c>
      <ns0:c r="K131" s="2" t="s">
        <ns0:v>2452</ns0:v>
      </ns0:c>
      <ns0:c r="L131" s="2" t="s">
        <ns0:v>2035</ns0:v>
      </ns0:c>
      <ns0:c r="M131" s="5" t="s">
        <ns0:v>758</ns0:v>
      </ns0:c>
      <ns0:c r="N131" s="7" t="s">
        <ns0:v>759</ns0:v>
      </ns0:c>
      <ns0:c r="O131" s="7" t="s">
        <ns0:v>761</ns0:v>
      </ns0:c>
      <ns0:c r="P131" s="7" t="s">
        <ns0:v>2036</ns0:v>
      </ns0:c>
      <ns0:c r="Q131" s="7" t="s">
        <ns0:v>2376</ns0:v>
      </ns0:c>
      <ns0:c r="R131" s="7" t="s">
        <ns0:v>1934</ns0:v>
      </ns0:c>
      <ns0:c r="S131" s="73" t="str">
        <ns0:v>試験×才能再評価×適性の場所違い×本と魔法遊びを好む不器用な少年×送り出す親</ns0:v>
      </ns0:c>
      <ns0:c r="T131" s="72" t="str">
        <ns0:v>農作業は苦手で、本と魔法遊びを好む。受験には気負いがない。</ns0:v>
      </ns0:c>
      <ns0:c r="U131" s="72" t="str">
        <ns0:v>親は記念受験と観光を勧める。詳細性格未確認。</ns0:v>
      </ns0:c>
      <ns0:c r="V131" s="72" t="str">
        <ns0:v>生活の場では無用だった好みが、評価の場を変えるだけで卓越した力として現れる。</ns0:v>
      </ns0:c>
      <ns0:c r="W131" s="72" t="str">
        <ns0:v>自分に合う場所を得る希望と予想以上の評価。</ns0:v>
      </ns0:c>
      <ns0:c r="X131" s="72" t="str">
        <ns0:v>試験から宮廷の役割へ進むと予告。</ns0:v>
      </ns0:c>
      <ns0:c r="Y131" s="74" t="str">
        <ns0:v>不器用は農作業の文脈。対人面の不器用さは未確認。</ns0:v>
      </ns0:c>
    </ns0:row>
    <ns0:row r="132" ht="64.05000305175781" customHeight="1">
      <ns0:c r="A132" s="2" t="s">
        <ns0:v>608</ns0:v>
      </ns0:c>
      <ns0:c r="B132" s="4">
        <ns0:v>27</ns0:v>
      </ns0:c>
      <ns0:c r="C132" s="2" t="s">
        <ns0:v>762</ns0:v>
      </ns0:c>
      <ns0:c r="D132" s="6" t="s">
        <ns0:v>2073</ns0:v>
      </ns0:c>
      <ns0:c r="E132" s="6" t="s">
        <ns0:v>2058</ns0:v>
      </ns0:c>
      <ns0:c r="F132" s="6" t="s">
        <ns0:v>2063</ns0:v>
      </ns0:c>
      <ns0:c r="G132" s="9" t="s">
        <ns0:v>2031</ns0:v>
      </ns0:c>
      <ns0:c r="H132" s="9" t="s">
        <ns0:v>2058</ns0:v>
      </ns0:c>
      <ns0:c r="I132" s="2" t="s">
        <ns0:v>2453</ns0:v>
      </ns0:c>
      <ns0:c r="J132" s="2" t="s">
        <ns0:v>2454</ns0:v>
      </ns0:c>
      <ns0:c r="K132" s="2" t="s">
        <ns0:v>2455</ns0:v>
      </ns0:c>
      <ns0:c r="L132" s="2" t="s">
        <ns0:v>2035</ns0:v>
      </ns0:c>
      <ns0:c r="M132" s="5" t="s">
        <ns0:v>764</ns0:v>
      </ns0:c>
      <ns0:c r="N132" s="7" t="s">
        <ns0:v>765</ns0:v>
      </ns0:c>
      <ns0:c r="O132" s="7" t="s">
        <ns0:v>767</ns0:v>
      </ns0:c>
      <ns0:c r="P132" s="7" t="s">
        <ns0:v>2036</ns0:v>
      </ns0:c>
      <ns0:c r="Q132" s="7" t="s">
        <ns0:v>2376</ns0:v>
      </ns0:c>
      <ns0:c r="R132" s="7" t="s">
        <ns0:v>1949</ns0:v>
      </ns0:c>
      <ns0:c r="S132" s="70" t="str">
        <ns0:v>領民防衛×支援撤退×婚約破棄×静かに暮らしたい令嬢×献身の限界を決める父×支援を当然視する王都</ns0:v>
      </ns0:c>
      <ns0:c r="T132" s="69" t="str">
        <ns0:v>婚約破棄を受け入れ、故郷で静かに暮らしたい。</ns0:v>
      </ns0:c>
      <ns0:c r="U132" s="69" t="str">
        <ns0:v>父は領民のみ守ると決断。王都側は献身を当然視。</ns0:v>
      </ns0:c>
      <ns0:c r="V132" s="69" t="str">
        <ns0:v>奪われた婚約を取り戻すより、支える範囲を限定することで依存していた側の弱さが露見する。</ns0:v>
      </ns0:c>
      <ns0:c r="W132" s="69" t="str">
        <ns0:v>尽くし続ける義務からの解放と貢献の証明。</ns0:v>
      </ns0:c>
      <ns0:c r="X132" s="69" t="str">
        <ns0:v>王国崩壊を予告。故郷の生活の細部は未確認。</ns0:v>
      </ns0:c>
      <ns0:c r="Y132" s="71" t="str">
        <ns0:v>閉門の決断者は父。主人公一人の復讐行動としない。</ns0:v>
      </ns0:c>
    </ns0:row>
    <ns0:row r="133" ht="64.05000305175781" customHeight="1">
      <ns0:c r="A133" s="2" t="s">
        <ns0:v>608</ns0:v>
      </ns0:c>
      <ns0:c r="B133" s="4">
        <ns0:v>28</ns0:v>
      </ns0:c>
      <ns0:c r="C133" s="2" t="s">
        <ns0:v>768</ns0:v>
      </ns0:c>
      <ns0:c r="D133" s="6" t="s">
        <ns0:v>2039</ns0:v>
      </ns0:c>
      <ns0:c r="E133" s="6" t="s">
        <ns0:v>2058</ns0:v>
      </ns0:c>
      <ns0:c r="F133" s="6" t="s">
        <ns0:v>2151</ns0:v>
      </ns0:c>
      <ns0:c r="G133" s="9" t="s">
        <ns0:v>2031</ns0:v>
      </ns0:c>
      <ns0:c r="H133" s="9" t="s">
        <ns0:v>2058</ns0:v>
      </ns0:c>
      <ns0:c r="I133" s="2" t="s">
        <ns0:v>2456</ns0:v>
      </ns0:c>
      <ns0:c r="J133" s="2" t="s">
        <ns0:v>2457</ns0:v>
      </ns0:c>
      <ns0:c r="K133" s="2" t="s">
        <ns0:v>2458</ns0:v>
      </ns0:c>
      <ns0:c r="L133" s="2" t="s">
        <ns0:v>2035</ns0:v>
      </ns0:c>
      <ns0:c r="M133" s="5" t="s">
        <ns0:v>770</ns0:v>
      </ns0:c>
      <ns0:c r="N133" s="7" t="s">
        <ns0:v>771</ns0:v>
      </ns0:c>
      <ns0:c r="O133" s="7" t="s">
        <ns0:v>773</ns0:v>
      </ns0:c>
      <ns0:c r="P133" s="7" t="s">
        <ns0:v>2036</ns0:v>
      </ns0:c>
      <ns0:c r="Q133" s="7" t="s">
        <ns0:v>2376</ns0:v>
      </ns0:c>
      <ns0:c r="R133" s="7" t="s">
        <ns0:v>1973</ns0:v>
      </ns0:c>
      <ns0:c r="S133" s="73" t="str">
        <ns0:v>村づくり×防衛×竜の進化×小さな恩を返す主人公×空腹でも分け与える少女</ns0:v>
      </ns0:c>
      <ns0:c r="T133" s="72" t="str">
        <ns0:v>パンを分けてくれた恩を返し続ける。</ns0:v>
      </ns0:c>
      <ns0:c r="U133" s="72" t="str">
        <ns0:v>少女は自分も飢えているのに大きい半分を渡す。</ns0:v>
      </ns0:c>
      <ns0:c r="V133" s="72" t="str">
        <ns0:v>最初は助けられる幼竜が、恩返しで村と一緒に強く大きくなる。</ns0:v>
      </ns0:c>
      <ns0:c r="W133" s="72" t="str">
        <ns0:v>小さな善意が共同体の未来へ育つ温かさ。</ns0:v>
      </ns0:c>
      <ns0:c r="X133" s="72" t="str">
        <ns0:v>人口・種族・都市規模と竜の進化が連動。</ns0:v>
      </ns0:c>
      <ns0:c r="Y133" s="74" t="str">
        <ns0:v>分け与える行動と守る対象による成長を紹介文で確認。</ns0:v>
      </ns0:c>
    </ns0:row>
    <ns0:row r="134" ht="64.05000305175781" customHeight="1">
      <ns0:c r="A134" s="2" t="s">
        <ns0:v>608</ns0:v>
      </ns0:c>
      <ns0:c r="B134" s="4">
        <ns0:v>29</ns0:v>
      </ns0:c>
      <ns0:c r="C134" s="2" t="s">
        <ns0:v>774</ns0:v>
      </ns0:c>
      <ns0:c r="D134" s="6" t="s">
        <ns0:v>2102</ns0:v>
      </ns0:c>
      <ns0:c r="E134" s="6" t="s">
        <ns0:v>2063</ns0:v>
      </ns0:c>
      <ns0:c r="F134" s="6"/>
      <ns0:c r="G134" s="2" t="s">
        <ns0:v>2040</ns0:v>
      </ns0:c>
      <ns0:c r="H134" s="2"/>
      <ns0:c r="I134" s="2" t="s">
        <ns0:v>2459</ns0:v>
      </ns0:c>
      <ns0:c r="J134" s="2" t="s">
        <ns0:v>2460</ns0:v>
      </ns0:c>
      <ns0:c r="K134" s="2" t="s">
        <ns0:v>2461</ns0:v>
      </ns0:c>
      <ns0:c r="L134" s="2" t="s">
        <ns0:v>2035</ns0:v>
      </ns0:c>
      <ns0:c r="M134" s="5" t="s">
        <ns0:v>776</ns0:v>
      </ns0:c>
      <ns0:c r="N134" s="7" t="s">
        <ns0:v>777</ns0:v>
      </ns0:c>
      <ns0:c r="O134" s="7" t="s">
        <ns0:v>779</ns0:v>
      </ns0:c>
      <ns0:c r="P134" s="7" t="s">
        <ns0:v>2036</ns0:v>
      </ns0:c>
      <ns0:c r="Q134" s="7" t="s">
        <ns0:v>2376</ns0:v>
      </ns0:c>
      <ns0:c r="R134" s="7" t="s">
        <ns0:v>2003</ns0:v>
      </ns0:c>
      <ns0:c r="S134" s="70" t="str">
        <ns0:v>仲間からの離脱×恋愛×成長速度の差×力不足で身を引く鈍感な少年×ヤンデレの幼馴染勇者</ns0:v>
      </ns0:c>
      <ns0:c r="T134" s="69" t="str">
        <ns0:v>守るため同行し、不要になったと感じて身を引く。鈍感はタグ。</ns0:v>
      </ns0:c>
      <ns0:c r="U134" s="69" t="str">
        <ns0:v>女勇者は離脱後も関わり続ける。ヤンデレは題名で本人に紐づく。</ns0:v>
      </ns0:c>
      <ns0:c r="V134" s="69" t="str">
        <ns0:v>戦力として不要なら関係も終わると思う側と、本人を必要とする側が食い違う。</ns0:v>
      </ns0:c>
      <ns0:c r="W134" s="69" t="str">
        <ns0:v>強くなった相手から求められる満足と執着の緊張。</ns0:v>
      </ns0:c>
      <ns0:c r="X134" s="69" t="str">
        <ns0:v>離脱後の日常へ勇者が関与。執着行動の程度は未確認。</ns0:v>
      </ns0:c>
      <ns0:c r="Y134" s="71" t="str">
        <ns0:v>ヤンデレの役割は明確。紹介文だけで暴力や監禁は補完しない。</ns0:v>
      </ns0:c>
    </ns0:row>
    <ns0:row r="135" ht="64.05000305175781" customHeight="1">
      <ns0:c r="A135" s="2" t="s">
        <ns0:v>608</ns0:v>
      </ns0:c>
      <ns0:c r="B135" s="4">
        <ns0:v>30</ns0:v>
      </ns0:c>
      <ns0:c r="C135" s="2" t="s">
        <ns0:v>780</ns0:v>
      </ns0:c>
      <ns0:c r="D135" s="6" t="s">
        <ns0:v>2050</ns0:v>
      </ns0:c>
      <ns0:c r="E135" s="6" t="s">
        <ns0:v>2058</ns0:v>
      </ns0:c>
      <ns0:c r="F135" s="6" t="s">
        <ns0:v>2030</ns0:v>
      </ns0:c>
      <ns0:c r="G135" s="9" t="s">
        <ns0:v>2031</ns0:v>
      </ns0:c>
      <ns0:c r="H135" s="9" t="s">
        <ns0:v>2058</ns0:v>
      </ns0:c>
      <ns0:c r="I135" s="2" t="s">
        <ns0:v>2462</ns0:v>
      </ns0:c>
      <ns0:c r="J135" s="2" t="s">
        <ns0:v>2463</ns0:v>
      </ns0:c>
      <ns0:c r="K135" s="2" t="s">
        <ns0:v>2464</ns0:v>
      </ns0:c>
      <ns0:c r="L135" s="2" t="s">
        <ns0:v>2035</ns0:v>
      </ns0:c>
      <ns0:c r="M135" s="5" t="s">
        <ns0:v>782</ns0:v>
      </ns0:c>
      <ns0:c r="N135" s="7" t="s">
        <ns0:v>783</ns0:v>
      </ns0:c>
      <ns0:c r="O135" s="7" t="s">
        <ns0:v>785</ns0:v>
      </ns0:c>
      <ns0:c r="P135" s="7" t="s">
        <ns0:v>2036</ns0:v>
      </ns0:c>
      <ns0:c r="Q135" s="7" t="s">
        <ns0:v>2376</ns0:v>
      </ns0:c>
      <ns0:c r="R135" s="7" t="s">
        <ns0:v>1936</ns0:v>
      </ns0:c>
      <ns0:c r="S135" s="73" t="str">
        <ns0:v>世界救済×悪役演技×原作改変×死んで役目を果たしたい主人公×彼を生かしたい仲間</ns0:v>
      </ns0:c>
      <ns0:c r="T135" s="72" t="str">
        <ns0:v>最高の悪役として敗死することを世界への貢献と考える。</ns0:v>
      </ns0:c>
      <ns0:c r="U135" s="72" t="str">
        <ns0:v>救われた仲間たちは主人公の優しさを見て救命を望む。</ns0:v>
      </ns0:c>
      <ns0:c r="V135" s="72" t="str">
        <ns0:v>救うために死のうとする人の行動が、その死を許さない味方を増やす。</ns0:v>
      </ns0:c>
      <ns0:c r="W135" s="72" t="str">
        <ns0:v>隠す善意が伝わる喜びと自己犠牲を止めたい感情。</ns0:v>
      </ns0:c>
      <ns0:c r="X135" s="72" t="str">
        <ns0:v>救助・陰謀解決が原作とのずれと味方を増やす。</ns0:v>
      </ns0:c>
      <ns0:c r="Y135" s="74" t="str">
        <ns0:v>死の目的と仲間の反対は紹介文に明記。</ns0:v>
      </ns0:c>
    </ns0:row>
    <ns0:row r="136" ht="64.05000305175781" customHeight="1">
      <ns0:c r="A136" s="2" t="s">
        <ns0:v>608</ns0:v>
      </ns0:c>
      <ns0:c r="B136" s="4">
        <ns0:v>31</ns0:v>
      </ns0:c>
      <ns0:c r="C136" s="2" t="s">
        <ns0:v>786</ns0:v>
      </ns0:c>
      <ns0:c r="D136" s="6" t="s">
        <ns0:v>2102</ns0:v>
      </ns0:c>
      <ns0:c r="E136" s="6" t="s">
        <ns0:v>2465</ns0:v>
      </ns0:c>
      <ns0:c r="F136" s="6"/>
      <ns0:c r="G136" s="9" t="s">
        <ns0:v>2031</ns0:v>
      </ns0:c>
      <ns0:c r="H136" s="9" t="s">
        <ns0:v>2465</ns0:v>
      </ns0:c>
      <ns0:c r="I136" s="2" t="s">
        <ns0:v>2466</ns0:v>
      </ns0:c>
      <ns0:c r="J136" s="2" t="s">
        <ns0:v>2467</ns0:v>
      </ns0:c>
      <ns0:c r="K136" s="2" t="s">
        <ns0:v>2468</ns0:v>
      </ns0:c>
      <ns0:c r="L136" s="2" t="s">
        <ns0:v>2035</ns0:v>
      </ns0:c>
      <ns0:c r="M136" s="5" t="s">
        <ns0:v>788</ns0:v>
      </ns0:c>
      <ns0:c r="N136" s="7" t="s">
        <ns0:v>789</ns0:v>
      </ns0:c>
      <ns0:c r="O136" s="7" t="s">
        <ns0:v>791</ns0:v>
      </ns0:c>
      <ns0:c r="P136" s="7" t="s">
        <ns0:v>2036</ns0:v>
      </ns0:c>
      <ns0:c r="Q136" s="7" t="s">
        <ns0:v>2376</ns0:v>
      </ns0:c>
      <ns0:c r="R136" s="7" t="s">
        <ns0:v>1931</ns0:v>
      </ns0:c>
      <ns0:c r="S136" s="70" t="str">
        <ns0:v>破滅回避×恋愛による救済×真実を伝えられない制約×愛情を与え続ける主人公×復讐に囚われた少女</ns0:v>
      </ns0:c>
      <ns0:c r="T136" s="69" t="str">
        <ns0:v>凄惨な結末を避けるため、相手の行動によらず愛情を向ける。</ns0:v>
      </ns0:c>
      <ns0:c r="U136" s="69" t="str">
        <ns0:v>少女は家族と故郷を失い復讐を求め、愛された結果大きく変調する。</ns0:v>
      </ns0:c>
      <ns0:c r="V136" s="69" t="str">
        <ns0:v>万能に見える無条件の愛が、傷ついた相手に予想外の変化を生む。</ns0:v>
      </ns0:c>
      <ns0:c r="W136" s="69" t="str">
        <ns0:v>救済がどこへ向かうかへの不安と濃い感情の関係。</ns0:v>
      </ns0:c>
      <ns0:c r="X136" s="69" t="str">
        <ns0:v>愛情の結果の変調を予告。具体的な行動は未確認。</ns0:v>
      </ns0:c>
      <ns0:c r="Y136" s="71" t="str">
        <ns0:v>ヤンデレはタグ。ヒスイの変調は明記だが症状・行動の詳細は補わない。</ns0:v>
      </ns0:c>
    </ns0:row>
    <ns0:row r="137" ht="64.05000305175781" customHeight="1">
      <ns0:c r="A137" s="2" t="s">
        <ns0:v>608</ns0:v>
      </ns0:c>
      <ns0:c r="B137" s="4">
        <ns0:v>32</ns0:v>
      </ns0:c>
      <ns0:c r="C137" s="2" t="s">
        <ns0:v>792</ns0:v>
      </ns0:c>
      <ns0:c r="D137" s="6" t="s">
        <ns0:v>2048</ns0:v>
      </ns0:c>
      <ns0:c r="E137" s="6"/>
      <ns0:c r="F137" s="6"/>
      <ns0:c r="G137" s="2" t="s">
        <ns0:v>2040</ns0:v>
      </ns0:c>
      <ns0:c r="H137" s="2"/>
      <ns0:c r="I137" s="2" t="s">
        <ns0:v>2469</ns0:v>
      </ns0:c>
      <ns0:c r="J137" s="2" t="s">
        <ns0:v>2470</ns0:v>
      </ns0:c>
      <ns0:c r="K137" s="2" t="s">
        <ns0:v>2471</ns0:v>
      </ns0:c>
      <ns0:c r="L137" s="2" t="s">
        <ns0:v>2472</ns0:v>
      </ns0:c>
      <ns0:c r="M137" s="5" t="s">
        <ns0:v>794</ns0:v>
      </ns0:c>
      <ns0:c r="N137" s="7" t="s">
        <ns0:v>795</ns0:v>
      </ns0:c>
      <ns0:c r="O137" s="7" t="s">
        <ns0:v>797</ns0:v>
      </ns0:c>
      <ns0:c r="P137" s="7" t="s">
        <ns0:v>2036</ns0:v>
      </ns0:c>
      <ns0:c r="Q137" s="7" t="s">
        <ns0:v>2376</ns0:v>
      </ns0:c>
      <ns0:c r="R137" s="7" t="s">
        <ns0:v>1955</ns0:v>
      </ns0:c>
      <ns0:c r="S137" s="73" t="str">
        <ns0:v>商売×万能購入スキル×稼ぐ動機×主人公の性格未確認</ns0:v>
      </ns0:c>
      <ns0:c r="T137" s="72" t="str">
        <ns0:v>能力で稼ごうとする。性格未確認。</ns0:v>
      </ns0:c>
      <ns0:c r="U137" s="72" t="str">
        <ns0:v>主要な相手役の性格は未確認。</ns0:v>
      </ns0:c>
      <ns0:c r="V137" s="72" t="str">
        <ns0:v>購入能力を収入につなぐ構図まで。差別化する関係や性格の情報は不足。</ns0:v>
      </ns0:c>
      <ns0:c r="W137" s="72" t="str">
        <ns0:v>便利な調達と商売の利益への期待。</ns0:v>
      </ns0:c>
      <ns0:c r="X137" s="72" t="str">
        <ns0:v>商品・顧客・経営上の変奏は未確認。</ns0:v>
      </ns0:c>
      <ns0:c r="Y137" s="74" t="str">
        <ns0:v>短い紹介文のみ。商才・慎重さを補完しない。</ns0:v>
      </ns0:c>
    </ns0:row>
    <ns0:row r="138" ht="82.05000305175781" customHeight="1">
      <ns0:c r="A138" s="2" t="s">
        <ns0:v>608</ns0:v>
      </ns0:c>
      <ns0:c r="B138" s="4">
        <ns0:v>33</ns0:v>
      </ns0:c>
      <ns0:c r="C138" s="2" t="s">
        <ns0:v>798</ns0:v>
      </ns0:c>
      <ns0:c r="D138" s="6" t="s">
        <ns0:v>2465</ns0:v>
      </ns0:c>
      <ns0:c r="E138" s="6" t="s">
        <ns0:v>2321</ns0:v>
      </ns0:c>
      <ns0:c r="F138" s="6" t="s">
        <ns0:v>2082</ns0:v>
      </ns0:c>
      <ns0:c r="G138" s="9" t="s">
        <ns0:v>2059</ns0:v>
      </ns0:c>
      <ns0:c r="H138" s="9" t="s">
        <ns0:v>2465</ns0:v>
      </ns0:c>
      <ns0:c r="I138" s="2" t="s">
        <ns0:v>2473</ns0:v>
      </ns0:c>
      <ns0:c r="J138" s="2" t="s">
        <ns0:v>2474</ns0:v>
      </ns0:c>
      <ns0:c r="K138" s="2" t="s">
        <ns0:v>2475</ns0:v>
      </ns0:c>
      <ns0:c r="L138" s="2" t="s">
        <ns0:v>2035</ns0:v>
      </ns0:c>
      <ns0:c r="M138" s="5" t="s">
        <ns0:v>800</ns0:v>
      </ns0:c>
      <ns0:c r="N138" s="7" t="s">
        <ns0:v>801</ns0:v>
      </ns0:c>
      <ns0:c r="O138" s="7" t="s">
        <ns0:v>803</ns0:v>
      </ns0:c>
      <ns0:c r="P138" s="7" t="s">
        <ns0:v>2036</ns0:v>
      </ns0:c>
      <ns0:c r="Q138" s="7" t="s">
        <ns0:v>2376</ns0:v>
      </ns0:c>
      <ns0:c r="R138" s="7" t="s">
        <ns0:v>1969</ns0:v>
      </ns0:c>
      <ns0:c r="S138" s="70" t="str">
        <ns0:v>二世界往来×未練の救済×現代の食と道具×週末に活動する帰還者×日本を懐かしむ転生者</ns0:v>
      </ns0:c>
      <ns0:c r="T138" s="69" t="str">
        <ns0:v>二世界を往来して食や連絡を届ける。細かな性格未確認。</ns0:v>
      </ns0:c>
      <ns0:c r="U138" s="69" t="str">
        <ns0:v>転生者は家族・姉妹との未解決の関係を抱える。美女の癖の詳細は未確認。</ns0:v>
      </ns0:c>
      <ns0:c r="V138" s="69" t="str">
        <ns0:v>戦闘チートのある相手でも得られない帰郷先とのつながりを、往来能力が埋める。</ns0:v>
      </ns0:c>
      <ns0:c r="W138" s="69" t="str">
        <ns0:v>懐かしい味の共有と伝えられなかった思いの解消。</ns0:v>
      </ns0:c>
      <ns0:c r="X138" s="69" t="str">
        <ns0:v>食材・道具・手紙・動画と橋渡しするものが変わる。</ns0:v>
      </ns0:c>
      <ns0:c r="Y138" s="71" t="str">
        <ns0:v>放してくれないは題名。全員のヤンデレ判定はしない。</ns0:v>
      </ns0:c>
    </ns0:row>
    <ns0:row r="139" ht="64.05000305175781" customHeight="1">
      <ns0:c r="A139" s="2" t="s">
        <ns0:v>608</ns0:v>
      </ns0:c>
      <ns0:c r="B139" s="4">
        <ns0:v>34</ns0:v>
      </ns0:c>
      <ns0:c r="C139" s="2" t="s">
        <ns0:v>804</ns0:v>
      </ns0:c>
      <ns0:c r="D139" s="6" t="s">
        <ns0:v>2082</ns0:v>
      </ns0:c>
      <ns0:c r="E139" s="6"/>
      <ns0:c r="F139" s="6"/>
      <ns0:c r="G139" s="2" t="s">
        <ns0:v>2040</ns0:v>
      </ns0:c>
      <ns0:c r="H139" s="2"/>
      <ns0:c r="I139" s="2" t="s">
        <ns0:v>2476</ns0:v>
      </ns0:c>
      <ns0:c r="J139" s="2" t="s">
        <ns0:v>2477</ns0:v>
      </ns0:c>
      <ns0:c r="K139" s="2" t="s">
        <ns0:v>2478</ns0:v>
      </ns0:c>
      <ns0:c r="L139" s="2" t="s">
        <ns0:v>2277</ns0:v>
      </ns0:c>
      <ns0:c r="M139" s="5" t="s">
        <ns0:v>805</ns0:v>
      </ns0:c>
      <ns0:c r="N139" s="7" t="s">
        <ns0:v>806</ns0:v>
      </ns0:c>
      <ns0:c r="O139" s="7" t="s">
        <ns0:v>808</ns0:v>
      </ns0:c>
      <ns0:c r="P139" s="7" t="s">
        <ns0:v>2036</ns0:v>
      </ns0:c>
      <ns0:c r="Q139" s="7" t="s">
        <ns0:v>2376</ns0:v>
      </ns0:c>
      <ns0:c r="R139" s="7" t="s">
        <ns0:v>1983</ns0:v>
      </ns0:c>
      <ns0:c r="S139" s="73" t="str">
        <ns0:v>パンづくり×異世界の食改善×専門技能×パン屋の四代目×性格未確認</ns0:v>
      </ns0:c>
      <ns0:c r="T139" s="72" t="str">
        <ns0:v>修行へ向かう専門教育経験者。職歴だけで性格は断定できない。</ns0:v>
      </ns0:c>
      <ns0:c r="U139" s="72" t="str">
        <ns0:v>主要な相手役の性格は未確認。</ns0:v>
      </ns0:c>
      <ns0:c r="V139" s="72" t="str">
        <ns0:v>慣れたパンの品質を別世界へ持ち込む構図。性格に由来する捻りは確認できない。</ns0:v>
      </ns0:c>
      <ns0:c r="W139" s="72" t="str">
        <ns0:v>食の改善と技能の有用性への期待。</ns0:v>
      </ns0:c>
      <ns0:c r="X139" s="72" t="str">
        <ns0:v>領地経営は疑問形のタグ。実際の拡張は未確認。</ns0:v>
      </ns0:c>
      <ns0:c r="Y139" s="74" t="str">
        <ns0:v>パンの不満はキャッチ。執着や無自覚さの詳細は未確認。</ns0:v>
      </ns0:c>
    </ns0:row>
    <ns0:row r="140" ht="64.05000305175781" customHeight="1">
      <ns0:c r="A140" s="2" t="s">
        <ns0:v>608</ns0:v>
      </ns0:c>
      <ns0:c r="B140" s="4">
        <ns0:v>35</ns0:v>
      </ns0:c>
      <ns0:c r="C140" s="2" t="s">
        <ns0:v>809</ns0:v>
      </ns0:c>
      <ns0:c r="D140" s="6" t="s">
        <ns0:v>2044</ns0:v>
      </ns0:c>
      <ns0:c r="E140" s="6" t="s">
        <ns0:v>2102</ns0:v>
      </ns0:c>
      <ns0:c r="F140" s="6"/>
      <ns0:c r="G140" s="2" t="s">
        <ns0:v>2040</ns0:v>
      </ns0:c>
      <ns0:c r="H140" s="2"/>
      <ns0:c r="I140" s="2" t="s">
        <ns0:v>2479</ns0:v>
      </ns0:c>
      <ns0:c r="J140" s="2" t="s">
        <ns0:v>2480</ns0:v>
      </ns0:c>
      <ns0:c r="K140" s="2" t="s">
        <ns0:v>2481</ns0:v>
      </ns0:c>
      <ns0:c r="L140" s="2" t="s">
        <ns0:v>2035</ns0:v>
      </ns0:c>
      <ns0:c r="M140" s="5" t="s">
        <ns0:v>811</ns0:v>
      </ns0:c>
      <ns0:c r="N140" s="7" t="s">
        <ns0:v>812</ns0:v>
      </ns0:c>
      <ns0:c r="O140" s="7" t="s">
        <ns0:v>814</ns0:v>
      </ns0:c>
      <ns0:c r="P140" s="7" t="s">
        <ns0:v>2036</ns0:v>
      </ns0:c>
      <ns0:c r="Q140" s="7" t="s">
        <ns0:v>2376</ns0:v>
      </ns0:c>
      <ns0:c r="R140" s="7" t="s">
        <ns0:v>1946</ns0:v>
      </ns0:c>
      <ns0:c r="S140" s="70" t="str">
        <ns0:v>世界救済×転生反復×能力最適化×孤独に抗う主人公×離別を許さない独占的な相手役</ns0:v>
      </ns0:c>
      <ns0:c r="T140" s="69" t="str">
        <ns0:v>救済に必要な力のため切り捨てを選び、孤独に抗う。</ns0:v>
      </ns0:c>
      <ns0:c r="U140" s="69" t="str">
        <ns0:v>相手役に離れることを許さず、私だけの騎士と呼ぶ人物がいる。</ns0:v>
      </ns0:c>
      <ns0:c r="V140" s="69" t="str">
        <ns0:v>生まれ直しで力を積むほど別れの痛みが伴い、相手の独占欲と反復の孤独が衝突する。</ns0:v>
      </ns0:c>
      <ns0:c r="W140" s="69" t="str">
        <ns0:v>強さの代価を分かち合う関係と離別への切実さ。</ns0:v>
      </ns0:c>
      <ns0:c r="X140" s="69" t="str">
        <ns0:v>複数の生と出会い・別れが明記。発言者の人物名は未確認。</ns0:v>
      </ns0:c>
      <ns0:c r="Y140" s="71" t="str">
        <ns0:v>独占性は紹介文の発言で確認。話者同一性は不明。</ns0:v>
      </ns0:c>
    </ns0:row>
    <ns0:row r="141" ht="67.95" customHeight="1">
      <ns0:c r="A141" s="2" t="s">
        <ns0:v>608</ns0:v>
      </ns0:c>
      <ns0:c r="B141" s="4">
        <ns0:v>36</ns0:v>
      </ns0:c>
      <ns0:c r="C141" s="2" t="s">
        <ns0:v>815</ns0:v>
      </ns0:c>
      <ns0:c r="D141" s="6" t="s">
        <ns0:v>2038</ns0:v>
      </ns0:c>
      <ns0:c r="E141" s="6" t="s">
        <ns0:v>2049</ns0:v>
      </ns0:c>
      <ns0:c r="F141" s="6" t="s">
        <ns0:v>2138</ns0:v>
      </ns0:c>
      <ns0:c r="G141" s="2" t="s">
        <ns0:v>2040</ns0:v>
      </ns0:c>
      <ns0:c r="H141" s="2"/>
      <ns0:c r="I141" s="2" t="s">
        <ns0:v>2482</ns0:v>
      </ns0:c>
      <ns0:c r="J141" s="2" t="s">
        <ns0:v>2483</ns0:v>
      </ns0:c>
      <ns0:c r="K141" s="2" t="s">
        <ns0:v>2484</ns0:v>
      </ns0:c>
      <ns0:c r="L141" s="2" t="s">
        <ns0:v>2035</ns0:v>
      </ns0:c>
      <ns0:c r="M141" s="5" t="s">
        <ns0:v>817</ns0:v>
      </ns0:c>
      <ns0:c r="N141" s="7" t="s">
        <ns0:v>818</ns0:v>
      </ns0:c>
      <ns0:c r="O141" s="7" t="s">
        <ns0:v>820</ns0:v>
      </ns0:c>
      <ns0:c r="P141" s="7" t="s">
        <ns0:v>2036</ns0:v>
      </ns0:c>
      <ns0:c r="Q141" s="7" t="s">
        <ns0:v>2376</ns0:v>
      </ns0:c>
      <ns0:c r="R141" s="7" t="s">
        <ns0:v>1912</ns0:v>
      </ns0:c>
      <ns0:c r="S141" s="73" t="str">
        <ns0:v>生存×水魔法の創造応用×境遇の謎×しぶとく生きる主人公×毒舌・傲岸不遜〔対象未確認〕</ns0:v>
      </ns0:c>
      <ns0:c r="T141" s="72" t="str">
        <ns0:v>最低限の生活から生き延びようとする。</ns0:v>
      </ns0:c>
      <ns0:c r="U141" s="72" t="str">
        <ns0:v>性格タグの毒舌・傲岸不遜・容赦無しは対象人物未確認。</ns0:v>
      </ns0:c>
      <ns0:c r="V141" s="72" t="str">
        <ns0:v>単純に見える水の能力が清潔・治療・住居など生存の不足を一つずつ埋める。</ns0:v>
      </ns0:c>
      <ns0:c r="W141" s="72" t="str">
        <ns0:v>捨てられた境遇から生活を取り戻す手応え。</ns0:v>
      </ns0:c>
      <ns0:c r="X141" s="72" t="str">
        <ns0:v>住居・武器・薬への応用は書籍副題。復讐編の存在も明記。</ns0:v>
      </ns0:c>
      <ns0:c r="Y141" s="74" t="str">
        <ns0:v>性格はタグから主人公へ自動的に割り当てない。</ns0:v>
      </ns0:c>
    </ns0:row>
    <ns0:row r="142" ht="64.05000305175781" customHeight="1">
      <ns0:c r="A142" s="2" t="s">
        <ns0:v>608</ns0:v>
      </ns0:c>
      <ns0:c r="B142" s="4">
        <ns0:v>37</ns0:v>
      </ns0:c>
      <ns0:c r="C142" s="2" t="s">
        <ns0:v>821</ns0:v>
      </ns0:c>
      <ns0:c r="D142" s="6" t="s">
        <ns0:v>2038</ns0:v>
      </ns0:c>
      <ns0:c r="E142" s="6" t="s">
        <ns0:v>2044</ns0:v>
      </ns0:c>
      <ns0:c r="F142" s="6" t="s">
        <ns0:v>2050</ns0:v>
      </ns0:c>
      <ns0:c r="G142" s="2" t="s">
        <ns0:v>2040</ns0:v>
      </ns0:c>
      <ns0:c r="H142" s="2"/>
      <ns0:c r="I142" s="2" t="s">
        <ns0:v>2485</ns0:v>
      </ns0:c>
      <ns0:c r="J142" s="2" t="s">
        <ns0:v>2486</ns0:v>
      </ns0:c>
      <ns0:c r="K142" s="2" t="s">
        <ns0:v>2487</ns0:v>
      </ns0:c>
      <ns0:c r="L142" s="2" t="s">
        <ns0:v>2035</ns0:v>
      </ns0:c>
      <ns0:c r="M142" s="5" t="s">
        <ns0:v>823</ns0:v>
      </ns0:c>
      <ns0:c r="N142" s="7" t="s">
        <ns0:v>824</ns0:v>
      </ns0:c>
      <ns0:c r="O142" s="7" t="s">
        <ns0:v>826</ns0:v>
      </ns0:c>
      <ns0:c r="P142" s="7" t="s">
        <ns0:v>2036</ns0:v>
      </ns0:c>
      <ns0:c r="Q142" s="7" t="s">
        <ns0:v>2376</ns0:v>
      </ns0:c>
      <ns0:c r="R142" s="7" t="s">
        <ns0:v>1913</ns0:v>
      </ns0:c>
      <ns0:c r="S142" s="70" t="str">
        <ns0:v>生存戦闘×ロボット転生×操縦者の保護×世俗的な中年の内面×少年パイロット</ns0:v>
      </ns0:c>
      <ns0:c r="T142" s="69" t="str">
        <ns0:v>少年を助けつつ女性の太ももに見とれる。</ns0:v>
      </ns0:c>
      <ns0:c r="U142" s="69" t="str">
        <ns0:v>少年パイロットの性格は未確認。</ns0:v>
      </ns0:c>
      <ns0:c r="V142" s="69" t="str">
        <ns0:v>強大な兵器の視点に人間臭い欲や保護行動があり、機械の迫力と可笑しさが同居する。</ns0:v>
      </ns0:c>
      <ns0:c r="W142" s="69" t="str">
        <ns0:v>兵器としての強さと内面の親しみ。</ns0:v>
      </ns0:c>
      <ns0:c r="X142" s="69" t="str">
        <ns0:v>敵襲下のサバイバルを紹介。協働の詳細は未確認。</ns0:v>
      </ns0:c>
      <ns0:c r="Y142" s="71" t="str">
        <ns0:v>機体側の視点と中年の行動を紹介文で確認。</ns0:v>
      </ns0:c>
    </ns0:row>
    <ns0:row r="143" ht="64.05000305175781" customHeight="1">
      <ns0:c r="A143" s="2" t="s">
        <ns0:v>608</ns0:v>
      </ns0:c>
      <ns0:c r="B143" s="4">
        <ns0:v>38</ns0:v>
      </ns0:c>
      <ns0:c r="C143" s="2" t="s">
        <ns0:v>827</ns0:v>
      </ns0:c>
      <ns0:c r="D143" s="6" t="s">
        <ns0:v>2049</ns0:v>
      </ns0:c>
      <ns0:c r="E143" s="6" t="s">
        <ns0:v>2082</ns0:v>
      </ns0:c>
      <ns0:c r="F143" s="6" t="s">
        <ns0:v>2174</ns0:v>
      </ns0:c>
      <ns0:c r="G143" s="2" t="s">
        <ns0:v>2040</ns0:v>
      </ns0:c>
      <ns0:c r="H143" s="2"/>
      <ns0:c r="I143" s="2" t="s">
        <ns0:v>2488</ns0:v>
      </ns0:c>
      <ns0:c r="J143" s="2" t="s">
        <ns0:v>2489</ns0:v>
      </ns0:c>
      <ns0:c r="K143" s="2" t="s">
        <ns0:v>2490</ns0:v>
      </ns0:c>
      <ns0:c r="L143" s="2" t="s">
        <ns0:v>2035</ns0:v>
      </ns0:c>
      <ns0:c r="M143" s="5" t="s">
        <ns0:v>828</ns0:v>
      </ns0:c>
      <ns0:c r="N143" s="7" t="s">
        <ns0:v>829</ns0:v>
      </ns0:c>
      <ns0:c r="O143" s="7" t="s">
        <ns0:v>831</ns0:v>
      </ns0:c>
      <ns0:c r="P143" s="7" t="s">
        <ns0:v>2036</ns0:v>
      </ns0:c>
      <ns0:c r="Q143" s="7" t="s">
        <ns0:v>2376</ns0:v>
      </ns0:c>
      <ns0:c r="R143" s="7" t="s">
        <ns0:v>1964</ns0:v>
      </ns0:c>
      <ns0:c r="S143" s="73" t="str">
        <ns0:v>酒づくり×婚約破棄×経営×独身を気にせず交渉する令嬢×別れを喜ぶ王太子</ns0:v>
      </ns0:c>
      <ns0:c r="T143" s="72" t="str">
        <ns0:v>婚約より美味しい酒を重視し、補償を交渉する。</ns0:v>
      </ns0:c>
      <ns0:c r="U143" s="72" t="str">
        <ns0:v>王太子は婚約破棄に浮かれ、経済的影響を知らない。</ns0:v>
      </ns0:c>
      <ns0:c r="V143" s="72" t="str">
        <ns0:v>恋愛上の損失を醸造事業の自由に交換し、本人の趣味が王国にも影響する。</ns0:v>
      </ns0:c>
      <ns0:c r="W143" s="72" t="str">
        <ns0:v>自分の楽しみを選ぶ解放感と交渉の成果。</ns0:v>
      </ns0:c>
      <ns0:c r="X143" s="72" t="str">
        <ns0:v>酒の種類・人の集まり・税収への影響を予告。</ns0:v>
      </ns0:c>
      <ns0:c r="Y143" s="74" t="str">
        <ns0:v>免税は作品内の設定。制度の現実妥当性を論じる分析ではない。</ns0:v>
      </ns0:c>
    </ns0:row>
    <ns0:row r="144" ht="64.05000305175781" customHeight="1">
      <ns0:c r="A144" s="2" t="s">
        <ns0:v>608</ns0:v>
      </ns0:c>
      <ns0:c r="B144" s="4">
        <ns0:v>39</ns0:v>
      </ns0:c>
      <ns0:c r="C144" s="2" t="s">
        <ns0:v>832</ns0:v>
      </ns0:c>
      <ns0:c r="D144" s="6" t="s">
        <ns0:v>2038</ns0:v>
      </ns0:c>
      <ns0:c r="E144" s="6" t="s">
        <ns0:v>2050</ns0:v>
      </ns0:c>
      <ns0:c r="F144" s="6" t="s">
        <ns0:v>2102</ns0:v>
      </ns0:c>
      <ns0:c r="G144" s="2" t="s">
        <ns0:v>2040</ns0:v>
      </ns0:c>
      <ns0:c r="H144" s="2"/>
      <ns0:c r="I144" s="2" t="s">
        <ns0:v>2491</ns0:v>
      </ns0:c>
      <ns0:c r="J144" s="2" t="s">
        <ns0:v>2492</ns0:v>
      </ns0:c>
      <ns0:c r="K144" s="2" t="s">
        <ns0:v>2493</ns0:v>
      </ns0:c>
      <ns0:c r="L144" s="2" t="s">
        <ns0:v>2035</ns0:v>
      </ns0:c>
      <ns0:c r="M144" s="5" t="s">
        <ns0:v>834</ns0:v>
      </ns0:c>
      <ns0:c r="N144" s="7" t="s">
        <ns0:v>835</ns0:v>
      </ns0:c>
      <ns0:c r="O144" s="7" t="s">
        <ns0:v>837</ns0:v>
      </ns0:c>
      <ns0:c r="P144" s="7" t="s">
        <ns0:v>2036</ns0:v>
      </ns0:c>
      <ns0:c r="Q144" s="7" t="s">
        <ns0:v>2376</ns0:v>
      </ns0:c>
      <ns0:c r="R144" s="7" t="s">
        <ns0:v>1911</ns0:v>
      </ns0:c>
      <ns0:c r="S144" s="70" t="str">
        <ns0:v>破滅回避×原作改変×救助×理想のライバルを演じたい主人公×重い好意を持つヒロイン</ns0:v>
      </ns0:c>
      <ns0:c r="T144" s="69" t="str">
        <ns0:v>孤高のライバル役に憧れ、敵対を格好よく宣言したい。</ns0:v>
      </ns0:c>
      <ns0:c r="U144" s="69" t="str">
        <ns0:v>助けられたヒロインが激重感情を向ける。具体的行動は未確認。</ns0:v>
      </ns0:c>
      <ns0:c r="V144" s="69" t="str">
        <ns0:v>ライバルらしく振る舞う行動が英雄として受け取られ、孤高の理想から遠ざかる。</ns0:v>
      </ns0:c>
      <ns0:c r="W144" s="69" t="str">
        <ns0:v>演技と受け止めのずれ、意図せず深まる好意。</ns0:v>
      </ns0:c>
      <ns0:c r="X144" s="69" t="str">
        <ns0:v>本編前から原作が変わり、英雄扱いが広がる。</ns0:v>
      </ns0:c>
      <ns0:c r="Y144" s="71" t="str">
        <ns0:v>好意は紹介文、ヤンデレはタグ。全ヒロインへの一括判定はしない。</ns0:v>
      </ns0:c>
    </ns0:row>
    <ns0:row r="145" ht="64.05000305175781" customHeight="1">
      <ns0:c r="A145" s="2" t="s">
        <ns0:v>608</ns0:v>
      </ns0:c>
      <ns0:c r="B145" s="4">
        <ns0:v>40</ns0:v>
      </ns0:c>
      <ns0:c r="C145" s="2" t="s">
        <ns0:v>838</ns0:v>
      </ns0:c>
      <ns0:c r="D145" s="6" t="s">
        <ns0:v>2038</ns0:v>
      </ns0:c>
      <ns0:c r="E145" s="6" t="s">
        <ns0:v>2407</ns0:v>
      </ns0:c>
      <ns0:c r="F145" s="6"/>
      <ns0:c r="G145" s="2" t="s">
        <ns0:v>2040</ns0:v>
      </ns0:c>
      <ns0:c r="H145" s="2"/>
      <ns0:c r="I145" s="2" t="s">
        <ns0:v>2494</ns0:v>
      </ns0:c>
      <ns0:c r="J145" s="2" t="s">
        <ns0:v>2495</ns0:v>
      </ns0:c>
      <ns0:c r="K145" s="2" t="s">
        <ns0:v>2496</ns0:v>
      </ns0:c>
      <ns0:c r="L145" s="2" t="s">
        <ns0:v>2173</ns0:v>
      </ns0:c>
      <ns0:c r="M145" s="5" t="s">
        <ns0:v>840</ns0:v>
      </ns0:c>
      <ns0:c r="N145" s="7" t="s">
        <ns0:v>841</ns0:v>
      </ns0:c>
      <ns0:c r="O145" s="7" t="s">
        <ns0:v>843</ns0:v>
      </ns0:c>
      <ns0:c r="P145" s="7" t="s">
        <ns0:v>2036</ns0:v>
      </ns0:c>
      <ns0:c r="Q145" s="7" t="s">
        <ns0:v>2376</ns0:v>
      </ns0:c>
      <ns0:c r="R145" s="7" t="s">
        <ns0:v>1965</ns0:v>
      </ns0:c>
      <ns0:c r="S145" s="73" t="str">
        <ns0:v>戦場生存×再召喚×最弱モンスター×戦いたくない主人公×仕事を求める孤児の少女</ns0:v>
      </ns0:c>
      <ns0:c r="T145" s="72" t="str">
        <ns0:v>戦場へ行くのを嫌がり、契約解除を求める調子で語る。</ns0:v>
      </ns0:c>
      <ns0:c r="U145" s="72" t="str">
        <ns0:v>少女は孤児院を出るため仕事が必要。対人性格未確認。</ns0:v>
      </ns0:c>
      <ns0:c r="V145" s="72" t="str">
        <ns0:v>召喚者にも召喚獣にも生活上の逃げ場がなく、使役される側の不満から戦場を見る。</ns0:v>
      </ns0:c>
      <ns0:c r="W145" s="72" t="str">
        <ns0:v>弱者同士の生存への共感と召喚される側のぼやき。</ns0:v>
      </ns0:c>
      <ns0:c r="X145" s="72" t="str">
        <ns0:v>死亡後の再召喚は題名。関係の成長や痛みの扱いは未確認。</ns0:v>
      </ns0:c>
      <ns0:c r="Y145" s="74" t="str">
        <ns0:v>性格は戦闘拒否の発言に限定。再召喚を無痛とはしない。</ns0:v>
      </ns0:c>
    </ns0:row>
    <ns0:row r="146" ht="64.05000305175781" customHeight="1">
      <ns0:c r="A146" s="2" t="s">
        <ns0:v>608</ns0:v>
      </ns0:c>
      <ns0:c r="B146" s="4">
        <ns0:v>41</ns0:v>
      </ns0:c>
      <ns0:c r="C146" s="2" t="s">
        <ns0:v>844</ns0:v>
      </ns0:c>
      <ns0:c r="D146" s="6" t="s">
        <ns0:v>2030</ns0:v>
      </ns0:c>
      <ns0:c r="E146" s="6"/>
      <ns0:c r="F146" s="6"/>
      <ns0:c r="G146" s="2" t="s">
        <ns0:v>2040</ns0:v>
      </ns0:c>
      <ns0:c r="H146" s="2"/>
      <ns0:c r="I146" s="2" t="s">
        <ns0:v>2497</ns0:v>
      </ns0:c>
      <ns0:c r="J146" s="2" t="s">
        <ns0:v>2498</ns0:v>
      </ns0:c>
      <ns0:c r="K146" s="2" t="s">
        <ns0:v>2499</ns0:v>
      </ns0:c>
      <ns0:c r="L146" s="2" t="s">
        <ns0:v>2173</ns0:v>
      </ns0:c>
      <ns0:c r="M146" s="5" t="s">
        <ns0:v>846</ns0:v>
      </ns0:c>
      <ns0:c r="N146" s="7" t="s">
        <ns0:v>847</ns0:v>
      </ns0:c>
      <ns0:c r="O146" s="7" t="s">
        <ns0:v>849</ns0:v>
      </ns0:c>
      <ns0:c r="P146" s="7" t="s">
        <ns0:v>2036</ns0:v>
      </ns0:c>
      <ns0:c r="Q146" s="7" t="s">
        <ns0:v>2376</ns0:v>
      </ns0:c>
      <ns0:c r="R146" s="7" t="s">
        <ns0:v>2000</ns0:v>
      </ns0:c>
      <ns0:c r="S146" s="70" t="str">
        <ns0:v>試験×才能の発見×少量でも減らない魔力×都会を怖がる田舎少年×意図しない受験</ns0:v>
      </ns0:c>
      <ns0:c r="T146" s="69" t="str">
        <ns0:v>涙目で試験を受け、父に王都が怖いと訴える。</ns0:v>
      </ns0:c>
      <ns0:c r="U146" s="69" t="str">
        <ns0:v>父は物販目的で上京。性格未確認。</ns0:v>
      </ns0:c>
      <ns0:c r="V146" s="69" t="str">
        <ns0:v>試験を恐れて商売へ戻りたい本人が、無限に使える異才によって選ばれる。</ns0:v>
      </ns0:c>
      <ns0:c r="W146" s="69" t="str">
        <ns0:v>気弱な反応と突出した結果の落差。</ns0:v>
      </ns0:c>
      <ns0:c r="X146" s="69" t="str">
        <ns0:v>試験首位からの展開を予告。性格の変化は未確認。</ns0:v>
      </ns0:c>
      <ns0:c r="Y146" s="71" t="str">
        <ns0:v>怖がる行動は紹介文。病弱さ自体を性格とはしない。</ns0:v>
      </ns0:c>
    </ns0:row>
    <ns0:row r="147" ht="67.95" customHeight="1">
      <ns0:c r="A147" s="2" t="s">
        <ns0:v>608</ns0:v>
      </ns0:c>
      <ns0:c r="B147" s="4">
        <ns0:v>42</ns0:v>
      </ns0:c>
      <ns0:c r="C147" s="2" t="s">
        <ns0:v>850</ns0:v>
      </ns0:c>
      <ns0:c r="D147" s="6" t="s">
        <ns0:v>2044</ns0:v>
      </ns0:c>
      <ns0:c r="E147" s="6"/>
      <ns0:c r="F147" s="6"/>
      <ns0:c r="G147" s="2" t="s">
        <ns0:v>2040</ns0:v>
      </ns0:c>
      <ns0:c r="H147" s="2"/>
      <ns0:c r="I147" s="2" t="s">
        <ns0:v>2500</ns0:v>
      </ns0:c>
      <ns0:c r="J147" s="2" t="s">
        <ns0:v>2501</ns0:v>
      </ns0:c>
      <ns0:c r="K147" s="2" t="s">
        <ns0:v>2502</ns0:v>
      </ns0:c>
      <ns0:c r="L147" s="2" t="s">
        <ns0:v>2035</ns0:v>
      </ns0:c>
      <ns0:c r="M147" s="5" t="s">
        <ns0:v>852</ns0:v>
      </ns0:c>
      <ns0:c r="N147" s="7" t="s">
        <ns0:v>853</ns0:v>
      </ns0:c>
      <ns0:c r="O147" s="7" t="s">
        <ns0:v>855</ns0:v>
      </ns0:c>
      <ns0:c r="P147" s="7" t="s">
        <ns0:v>2036</ns0:v>
      </ns0:c>
      <ns0:c r="Q147" s="7" t="s">
        <ns0:v>2376</ns0:v>
      </ns0:c>
      <ns0:c r="R147" s="7" t="s">
        <ns0:v>1958</ns0:v>
      </ns0:c>
      <ns0:c r="S147" s="73" t="str">
        <ns0:v>攻略×能力育成×レベル固定×仕様の再解釈×反撃を受ける前に倒す主人公×口の悪い頼れる幼馴染</ns0:v>
      </ns0:c>
      <ns0:c r="T147" s="72" t="str">
        <ns0:v>前世では逃げていたが、現世では弱点を戦術で補う。</ns0:v>
      </ns0:c>
      <ns0:c r="U147" s="72" t="str">
        <ns0:v>相棒は口が悪く頼れる。恋愛・ハーレムなしと明記。</ns0:v>
      </ns0:c>
      <ns0:c r="V147" s="72" t="str">
        <ns0:v>成長しない表示が常時格上報酬の条件となり、弱点が成長資源を増やす。</ns0:v>
      </ns0:c>
      <ns0:c r="W147" s="72" t="str">
        <ns0:v>仕組みの逆用の納得と信頼できる相棒の安心。</ns0:v>
      </ns0:c>
      <ns0:c r="X147" s="72" t="str">
        <ns0:v>獲得ポイントで能力を横に増やす反復が明記。</ns0:v>
      </ns0:c>
      <ns0:c r="Y147" s="74" t="str">
        <ns0:v>幼馴染の口の悪さをツンデレ恋愛とは扱わない。</ns0:v>
      </ns0:c>
    </ns0:row>
    <ns0:row r="148" ht="64.05000305175781" customHeight="1">
      <ns0:c r="A148" s="2" t="s">
        <ns0:v>608</ns0:v>
      </ns0:c>
      <ns0:c r="B148" s="4">
        <ns0:v>43</ns0:v>
      </ns0:c>
      <ns0:c r="C148" s="2" t="s">
        <ns0:v>856</ns0:v>
      </ns0:c>
      <ns0:c r="D148" s="6" t="s">
        <ns0:v>2082</ns0:v>
      </ns0:c>
      <ns0:c r="E148" s="6" t="s">
        <ns0:v>2321</ns0:v>
      </ns0:c>
      <ns0:c r="F148" s="6"/>
      <ns0:c r="G148" s="2" t="s">
        <ns0:v>2040</ns0:v>
      </ns0:c>
      <ns0:c r="H148" s="2"/>
      <ns0:c r="I148" s="2" t="s">
        <ns0:v>2503</ns0:v>
      </ns0:c>
      <ns0:c r="J148" s="2" t="s">
        <ns0:v>2504</ns0:v>
      </ns0:c>
      <ns0:c r="K148" s="2" t="s">
        <ns0:v>2505</ns0:v>
      </ns0:c>
      <ns0:c r="L148" s="2" t="s">
        <ns0:v>2035</ns0:v>
      </ns0:c>
      <ns0:c r="M148" s="5" t="s">
        <ns0:v>858</ns0:v>
      </ns0:c>
      <ns0:c r="N148" s="7" t="s">
        <ns0:v>859</ns0:v>
      </ns0:c>
      <ns0:c r="O148" s="7" t="s">
        <ns0:v>861</ns0:v>
      </ns0:c>
      <ns0:c r="P148" s="7" t="s">
        <ns0:v>2036</ns0:v>
      </ns0:c>
      <ns0:c r="Q148" s="7" t="s">
        <ns0:v>2376</ns0:v>
      </ns0:c>
      <ns0:c r="R148" s="7" t="s">
        <ns0:v>1989</ns0:v>
      </ns0:c>
      <ns0:c r="S148" s="70" t="str">
        <ns0:v>食べ歩き×二世界往来×問題解決×完璧に見える令嬢×休日はご機嫌なのんべえ</ns0:v>
      </ns0:c>
      <ns0:c r="T148" s="69" t="str">
        <ns0:v>公的には完璧、休日は飲食でストレスを癒す。</ns0:v>
      </ns0:c>
      <ns0:c r="U148" s="69" t="str">
        <ns0:v>周囲は日本通いに気づき始める。個別性格未確認。</ns0:v>
      </ns0:c>
      <ns0:c r="V148" s="69" t="str">
        <ns0:v>きちんとした人物が気を抜く楽しみに、趣味の知識が公務で役立つ満足が重なる。</ns0:v>
      </ns0:c>
      <ns0:c r="W148" s="69" t="str">
        <ns0:v>くつろぐ素顔への愛着と好きなことの効用。</ns0:v>
      </ns0:c>
      <ns0:c r="X148" s="69" t="str">
        <ns0:v>商人・流通・市場と知識の用途が変わる。</ns0:v>
      </ns0:c>
      <ns0:c r="Y148" s="71" t="str">
        <ns0:v>表と休日の振る舞いは明記。店は架空と紹介文に記載。</ns0:v>
      </ns0:c>
    </ns0:row>
    <ns0:row r="149" ht="64.05000305175781" customHeight="1">
      <ns0:c r="A149" s="2" t="s">
        <ns0:v>608</ns0:v>
      </ns0:c>
      <ns0:c r="B149" s="4">
        <ns0:v>44</ns0:v>
      </ns0:c>
      <ns0:c r="C149" s="2" t="s">
        <ns0:v>862</ns0:v>
      </ns0:c>
      <ns0:c r="D149" s="6" t="s">
        <ns0:v>2049</ns0:v>
      </ns0:c>
      <ns0:c r="E149" s="6"/>
      <ns0:c r="F149" s="6"/>
      <ns0:c r="G149" s="2" t="s">
        <ns0:v>2040</ns0:v>
      </ns0:c>
      <ns0:c r="H149" s="2"/>
      <ns0:c r="I149" s="2" t="s">
        <ns0:v>2506</ns0:v>
      </ns0:c>
      <ns0:c r="J149" s="2" t="s">
        <ns0:v>2507</ns0:v>
      </ns0:c>
      <ns0:c r="K149" s="2" t="s">
        <ns0:v>2508</ns0:v>
      </ns0:c>
      <ns0:c r="L149" s="2" t="s">
        <ns0:v>2035</ns0:v>
      </ns0:c>
      <ns0:c r="M149" s="5" t="s">
        <ns0:v>864</ns0:v>
      </ns0:c>
      <ns0:c r="N149" s="7" t="s">
        <ns0:v>865</ns0:v>
      </ns0:c>
      <ns0:c r="O149" s="7" t="s">
        <ns0:v>867</ns0:v>
      </ns0:c>
      <ns0:c r="P149" s="7" t="s">
        <ns0:v>2036</ns0:v>
      </ns0:c>
      <ns0:c r="Q149" s="7" t="s">
        <ns0:v>2376</ns0:v>
      </ns0:c>
      <ns0:c r="R149" s="7" t="s">
        <ns0:v>1924</ns0:v>
      </ns0:c>
      <ns0:c r="S149" s="73" t="str">
        <ns0:v>ものづくり×生活改善×家族愛×叶わなかった夢を形にしたい少年</ns0:v>
      </ns0:c>
      <ns0:c r="T149" s="72" t="str">
        <ns0:v>新しい家族のもと、やりたいことを実現しようと決める。</ns0:v>
      </ns0:c>
      <ns0:c r="U149" s="72" t="str">
        <ns0:v>家族は迎え入れる。個別性格未確認。</ns0:v>
      </ns0:c>
      <ns0:c r="V149" s="72" t="str">
        <ns0:v>前世ではできなかった創作を、受け入れられた暮らしの中で人の役に立つ形へ変える。</ns0:v>
      </ns0:c>
      <ns0:c r="W149" s="72" t="str">
        <ns0:v>やり直しの希望と発明が暮らしに届く喜び。</ns0:v>
      </ns0:c>
      <ns0:c r="X149" s="72" t="str">
        <ns0:v>小さな発明と新しい出会いの蓄積を予告。</ns0:v>
      </ns0:c>
      <ns0:c r="Y149" s="74" t="str">
        <ns0:v>内面の細かな癖は不明。家族愛は動機・関係として記載。</ns0:v>
      </ns0:c>
    </ns0:row>
    <ns0:row r="150" ht="64.05000305175781" customHeight="1">
      <ns0:c r="A150" s="2" t="s">
        <ns0:v>608</ns0:v>
      </ns0:c>
      <ns0:c r="B150" s="4">
        <ns0:v>45</ns0:v>
      </ns0:c>
      <ns0:c r="C150" s="2" t="s">
        <ns0:v>868</ns0:v>
      </ns0:c>
      <ns0:c r="D150" s="6" t="s">
        <ns0:v>2063</ns0:v>
      </ns0:c>
      <ns0:c r="E150" s="6"/>
      <ns0:c r="F150" s="6"/>
      <ns0:c r="G150" s="2" t="s">
        <ns0:v>2040</ns0:v>
      </ns0:c>
      <ns0:c r="H150" s="2"/>
      <ns0:c r="I150" s="2" t="s">
        <ns0:v>2509</ns0:v>
      </ns0:c>
      <ns0:c r="J150" s="2" t="s">
        <ns0:v>2510</ns0:v>
      </ns0:c>
      <ns0:c r="K150" s="2" t="s">
        <ns0:v>2511</ns0:v>
      </ns0:c>
      <ns0:c r="L150" s="2" t="s">
        <ns0:v>2035</ns0:v>
      </ns0:c>
      <ns0:c r="M150" s="5" t="s">
        <ns0:v>870</ns0:v>
      </ns0:c>
      <ns0:c r="N150" s="7" t="s">
        <ns0:v>871</ns0:v>
      </ns0:c>
      <ns0:c r="O150" s="7" t="s">
        <ns0:v>873</ns0:v>
      </ns0:c>
      <ns0:c r="P150" s="7" t="s">
        <ns0:v>2036</ns0:v>
      </ns0:c>
      <ns0:c r="Q150" s="7" t="s">
        <ns0:v>2376</ns0:v>
      </ns0:c>
      <ns0:c r="R150" s="7" t="s">
        <ns0:v>1906</ns0:v>
      </ns0:c>
      <ns0:c r="S150" s="70" t="str">
        <ns0:v>生活づくり×放置からの自立×魔法・従魔×自由を選ぶ令嬢×責任を放棄する実家</ns0:v>
      </ns0:c>
      <ns0:c r="T150" s="69" t="str">
        <ns0:v>面倒を見ないと言われ、自分の気ままな暮らしを選ぶ。</ns0:v>
      </ns0:c>
      <ns0:c r="U150" s="69" t="str">
        <ns0:v>実家は支援を断つ。新しい仲間の性格未確認。</ns0:v>
      </ns0:c>
      <ns0:c r="V150" s="69" t="str">
        <ns0:v>見捨てる言葉を自由の許可として受け取り、暮らしの主導権を得ようとする。</ns0:v>
      </ns0:c>
      <ns0:c r="W150" s="69" t="str">
        <ns0:v>家の都合から離れ自分で暮らす解放感。</ns0:v>
      </ns0:c>
      <ns0:c r="X150" s="69" t="str">
        <ns0:v>周囲に翻弄されつつ生活を整える。従魔の役割は未確認。</ns0:v>
      </ns0:c>
      <ns0:c r="Y150" s="71" t="str">
        <ns0:v>気ままな暮らしへの決意は紹介文、魔法・従魔はタグ。</ns0:v>
      </ns0:c>
    </ns0:row>
    <ns0:row r="151" ht="67.95" customHeight="1">
      <ns0:c r="A151" s="2" t="s">
        <ns0:v>608</ns0:v>
      </ns0:c>
      <ns0:c r="B151" s="4">
        <ns0:v>46</ns0:v>
      </ns0:c>
      <ns0:c r="C151" s="2" t="s">
        <ns0:v>874</ns0:v>
      </ns0:c>
      <ns0:c r="D151" s="6" t="s">
        <ns0:v>2039</ns0:v>
      </ns0:c>
      <ns0:c r="E151" s="6" t="s">
        <ns0:v>2252</ns0:v>
      </ns0:c>
      <ns0:c r="F151" s="6" t="s">
        <ns0:v>2049</ns0:v>
      </ns0:c>
      <ns0:c r="G151" s="2" t="s">
        <ns0:v>2040</ns0:v>
      </ns0:c>
      <ns0:c r="H151" s="2"/>
      <ns0:c r="I151" s="2" t="s">
        <ns0:v>2512</ns0:v>
      </ns0:c>
      <ns0:c r="J151" s="2" t="s">
        <ns0:v>2513</ns0:v>
      </ns0:c>
      <ns0:c r="K151" s="2" t="s">
        <ns0:v>2514</ns0:v>
      </ns0:c>
      <ns0:c r="L151" s="2" t="s">
        <ns0:v>2035</ns0:v>
      </ns0:c>
      <ns0:c r="M151" s="5" t="s">
        <ns0:v>876</ns0:v>
      </ns0:c>
      <ns0:c r="N151" s="7" t="s">
        <ns0:v>877</ns0:v>
      </ns0:c>
      <ns0:c r="O151" s="7" t="s">
        <ns0:v>879</ns0:v>
      </ns0:c>
      <ns0:c r="P151" s="7" t="s">
        <ns0:v>2036</ns0:v>
      </ns0:c>
      <ns0:c r="Q151" s="7" t="s">
        <ns0:v>2376</ns0:v>
      </ns0:c>
      <ns0:c r="R151" s="7" t="s">
        <ns0:v>1942</ns0:v>
      </ns0:c>
      <ns0:c r="S151" s="73" t="str">
        <ns0:v>領地育成×万能成長スキル×スローライフ×衰えを否定したい中年の意地×好感度まで育つ周囲</ns0:v>
      </ns0:c>
      <ns0:c r="T151" s="72" t="str">
        <ns0:v>枯れたと言われたことに意地を張り、やり過ぎても楽観する。</ns0:v>
      </ns0:c>
      <ns0:c r="U151" s="72" t="str">
        <ns0:v>領民の好感度が上がる。個別性格未確認。</ns0:v>
      </ns0:c>
      <ns0:c r="V151" s="72" t="str">
        <ns0:v>私的な意地による過剰な育成が、農産物から社会と好意まで増大させる。</ns0:v>
      </ns0:c>
      <ns0:c r="W151" s="72" t="str">
        <ns0:v>まだ成長できるという欲求と拡張の可笑しさ。</ns0:v>
      </ns0:c>
      <ns0:c r="X151" s="72" t="str">
        <ns0:v>野菜・家畜・技術・好感度へ対象が変わる。</ns0:v>
      </ns0:c>
      <ns0:c r="Y151" s="74" t="str">
        <ns0:v>意地と楽観的反応は明記。好意の自発性の扱いは未確認。</ns0:v>
      </ns0:c>
    </ns0:row>
    <ns0:row r="152" ht="64.05000305175781" customHeight="1">
      <ns0:c r="A152" s="2" t="s">
        <ns0:v>608</ns0:v>
      </ns0:c>
      <ns0:c r="B152" s="4">
        <ns0:v>47</ns0:v>
      </ns0:c>
      <ns0:c r="C152" s="2" t="s">
        <ns0:v>880</ns0:v>
      </ns0:c>
      <ns0:c r="D152" s="6" t="s">
        <ns0:v>2102</ns0:v>
      </ns0:c>
      <ns0:c r="E152" s="6" t="s">
        <ns0:v>2030</ns0:v>
      </ns0:c>
      <ns0:c r="F152" s="6"/>
      <ns0:c r="G152" s="2" t="s">
        <ns0:v>2040</ns0:v>
      </ns0:c>
      <ns0:c r="H152" s="2"/>
      <ns0:c r="I152" s="2" t="s">
        <ns0:v>2515</ns0:v>
      </ns0:c>
      <ns0:c r="J152" s="2" t="s">
        <ns0:v>2516</ns0:v>
      </ns0:c>
      <ns0:c r="K152" s="2" t="s">
        <ns0:v>2517</ns0:v>
      </ns0:c>
      <ns0:c r="L152" s="2" t="s">
        <ns0:v>2035</ns0:v>
      </ns0:c>
      <ns0:c r="M152" s="5" t="s">
        <ns0:v>882</ns0:v>
      </ns0:c>
      <ns0:c r="N152" s="7" t="s">
        <ns0:v>883</ns0:v>
      </ns0:c>
      <ns0:c r="O152" s="7" t="s">
        <ns0:v>885</ns0:v>
      </ns0:c>
      <ns0:c r="P152" s="7" t="s">
        <ns0:v>2036</ns0:v>
      </ns0:c>
      <ns0:c r="Q152" s="7" t="s">
        <ns0:v>2376</ns0:v>
      </ns0:c>
      <ns0:c r="R152" s="7" t="s">
        <ns0:v>1954</ns0:v>
      </ns0:c>
      <ns0:c r="S152" s="70" t="str">
        <ns0:v>恋愛×婚約破棄×名誉の回復×好意に戸惑う青年×主人公にだけ甘えるクールな令嬢</ns0:v>
      </ns0:c>
      <ns0:c r="T152" s="69" t="str">
        <ns0:v>突然の好意に戸惑い、徐々に惹かれる。</ns0:v>
      </ns0:c>
      <ns0:c r="U152" s="69" t="str">
        <ns0:v>新相手は普段クールだが積極的。元許嫁は陥れ、自分の過ちに無自覚。</ns0:v>
      </ns0:c>
      <ns0:c r="V152" s="69" t="str">
        <ns0:v>公の拒絶が、今まで遠慮していた相手の好意を解禁する契機になる。</ns0:v>
      </ns0:c>
      <ns0:c r="W152" s="69" t="str">
        <ns0:v>自分だけへの甘さと公に選ばれる承認。</ns0:v>
      </ns0:c>
      <ns0:c r="X152" s="69" t="str">
        <ns0:v>デート・言葉・接近で恋愛が進むと明記。</ns0:v>
      </ns0:c>
      <ns0:c r="Y152" s="71" t="str">
        <ns0:v>クーデレは紹介文とタグ。嫉妬やヤンデレは補完しない。</ns0:v>
      </ns0:c>
    </ns0:row>
    <ns0:row r="153" ht="64.05000305175781" customHeight="1">
      <ns0:c r="A153" s="2" t="s">
        <ns0:v>608</ns0:v>
      </ns0:c>
      <ns0:c r="B153" s="4">
        <ns0:v>48</ns0:v>
      </ns0:c>
      <ns0:c r="C153" s="2" t="s">
        <ns0:v>886</ns0:v>
      </ns0:c>
      <ns0:c r="D153" s="6" t="s">
        <ns0:v>2078</ns0:v>
      </ns0:c>
      <ns0:c r="E153" s="6" t="s">
        <ns0:v>2044</ns0:v>
      </ns0:c>
      <ns0:c r="F153" s="6"/>
      <ns0:c r="G153" s="2" t="s">
        <ns0:v>2040</ns0:v>
      </ns0:c>
      <ns0:c r="H153" s="2"/>
      <ns0:c r="I153" s="2" t="s">
        <ns0:v>2518</ns0:v>
      </ns0:c>
      <ns0:c r="J153" s="2" t="s">
        <ns0:v>2519</ns0:v>
      </ns0:c>
      <ns0:c r="K153" s="2" t="s">
        <ns0:v>2520</ns0:v>
      </ns0:c>
      <ns0:c r="L153" s="2" t="s">
        <ns0:v>2173</ns0:v>
      </ns0:c>
      <ns0:c r="M153" s="5" t="s">
        <ns0:v>887</ns0:v>
      </ns0:c>
      <ns0:c r="N153" s="7" t="s">
        <ns0:v>888</ns0:v>
      </ns0:c>
      <ns0:c r="O153" s="7" t="s">
        <ns0:v>890</ns0:v>
      </ns0:c>
      <ns0:c r="P153" s="7" t="s">
        <ns0:v>2036</ns0:v>
      </ns0:c>
      <ns0:c r="Q153" s="7" t="s">
        <ns0:v>2376</ns0:v>
      </ns0:c>
      <ns0:c r="R153" s="7" t="s">
        <ns0:v>1933</ns0:v>
      </ns0:c>
      <ns0:c r="S153" s="73" t="str">
        <ns0:v>運命改変×努力×原作知識なし×自分は主人公と信じる思い込みの強い少年×本来無関係なヒロイン</ns0:v>
      </ns0:c>
      <ns0:c r="T153" s="72" t="str">
        <ns0:v>人の説明を聞かず飛び込み、失敗しても主役だと信じて立つ。</ns0:v>
      </ns0:c>
      <ns0:c r="U153" s="72" t="str">
        <ns0:v>ヒロインの性格は未確認。しぶとさに巻き込まれる。</ns0:v>
      </ns0:c>
      <ns0:c r="V153" s="72" t="str">
        <ns0:v>本来は即死する脇役が、誤った自己認識を折れない行動力にして運命を変える。</ns0:v>
      </ns0:c>
      <ns0:c r="W153" s="72" t="str">
        <ns0:v>思い込みの可笑しさと諦めない強さ。</ns0:v>
      </ns0:c>
      <ns0:c r="X153" s="72" t="str">
        <ns0:v>行動が人間関係と原作の流れを変える。</ns0:v>
      </ns0:c>
      <ns0:c r="Y153" s="74" t="str">
        <ns0:v>原作を知らないと明記。知識チートを付け加えない。</ns0:v>
      </ns0:c>
    </ns0:row>
    <ns0:row r="154" ht="64.05000305175781" customHeight="1">
      <ns0:c r="A154" s="2" t="s">
        <ns0:v>608</ns0:v>
      </ns0:c>
      <ns0:c r="B154" s="4">
        <ns0:v>49</ns0:v>
      </ns0:c>
      <ns0:c r="C154" s="2" t="s">
        <ns0:v>891</ns0:v>
      </ns0:c>
      <ns0:c r="D154" s="6" t="s">
        <ns0:v>2102</ns0:v>
      </ns0:c>
      <ns0:c r="E154" s="6" t="s">
        <ns0:v>2063</ns0:v>
      </ns0:c>
      <ns0:c r="F154" s="6"/>
      <ns0:c r="G154" s="2" t="s">
        <ns0:v>2040</ns0:v>
      </ns0:c>
      <ns0:c r="H154" s="2"/>
      <ns0:c r="I154" s="2" t="s">
        <ns0:v>2521</ns0:v>
      </ns0:c>
      <ns0:c r="J154" s="2" t="s">
        <ns0:v>2522</ns0:v>
      </ns0:c>
      <ns0:c r="K154" s="2" t="s">
        <ns0:v>2523</ns0:v>
      </ns0:c>
      <ns0:c r="L154" s="2" t="s">
        <ns0:v>2035</ns0:v>
      </ns0:c>
      <ns0:c r="M154" s="5" t="s">
        <ns0:v>892</ns0:v>
      </ns0:c>
      <ns0:c r="N154" s="7" t="s">
        <ns0:v>893</ns0:v>
      </ns0:c>
      <ns0:c r="O154" s="7" t="s">
        <ns0:v>895</ns0:v>
      </ns0:c>
      <ns0:c r="P154" s="7" t="s">
        <ns0:v>2036</ns0:v>
      </ns0:c>
      <ns0:c r="Q154" s="7" t="s">
        <ns0:v>2376</ns0:v>
      </ns0:c>
      <ns0:c r="R154" s="7" t="s">
        <ns0:v>1997</ns0:v>
      </ns0:c>
      <ns0:c r="S154" s="70" t="str">
        <ns0:v>パーティの日常×追放未遂×恋愛関係の秘密×動じない主人公×自分が好かれていると思う勇者×追放を止める女性たち</ns0:v>
      </ns0:c>
      <ns0:c r="T154" s="69" t="str">
        <ns0:v>追放宣言をいつもの茶番と捉え、狼狽えない。</ns0:v>
      </ns0:c>
      <ns0:c r="U154" s="69" t="str">
        <ns0:v>勇者は関係を誤認。女性たちは実際に関係のある主人公を引き留める。</ns0:v>
      </ns0:c>
      <ns0:c r="V154" s="69" t="str">
        <ns0:v>勇者が持つつもりの主導権が実際にはなく、追放の言葉が毎回空回りする。</ns0:v>
      </ns0:c>
      <ns0:c r="W154" s="69" t="str">
        <ns0:v>読者だけが知る優位と権威の空振りの笑い。</ns0:v>
      </ns0:c>
      <ns0:c r="X154" s="69" t="str">
        <ns0:v>追放宣言の反復が題名に明記。関係発覚後は未確認。</ns0:v>
      </ns0:c>
      <ns0:c r="Y154" s="71" t="str">
        <ns0:v>既存の関係と勘違いは紹介文で明記。新しい寝取り展開は作らない。</ns0:v>
      </ns0:c>
    </ns0:row>
    <ns0:row r="155" ht="64.05000305175781" customHeight="1">
      <ns0:c r="A155" s="2" t="s">
        <ns0:v>608</ns0:v>
      </ns0:c>
      <ns0:c r="B155" s="4">
        <ns0:v>50</ns0:v>
      </ns0:c>
      <ns0:c r="C155" s="2" t="s">
        <ns0:v>896</ns0:v>
      </ns0:c>
      <ns0:c r="D155" s="6" t="s">
        <ns0:v>2054</ns0:v>
      </ns0:c>
      <ns0:c r="E155" s="6" t="s">
        <ns0:v>2102</ns0:v>
      </ns0:c>
      <ns0:c r="F155" s="6" t="s">
        <ns0:v>2044</ns0:v>
      </ns0:c>
      <ns0:c r="G155" s="2" t="s">
        <ns0:v>2040</ns0:v>
      </ns0:c>
      <ns0:c r="H155" s="2"/>
      <ns0:c r="I155" s="2" t="s">
        <ns0:v>2524</ns0:v>
      </ns0:c>
      <ns0:c r="J155" s="2" t="s">
        <ns0:v>2525</ns0:v>
      </ns0:c>
      <ns0:c r="K155" s="2" t="s">
        <ns0:v>2526</ns0:v>
      </ns0:c>
      <ns0:c r="L155" s="2" t="s">
        <ns0:v>2035</ns0:v>
      </ns0:c>
      <ns0:c r="M155" s="5" t="s">
        <ns0:v>898</ns0:v>
      </ns0:c>
      <ns0:c r="N155" s="7" t="s">
        <ns0:v>899</ns0:v>
      </ns0:c>
      <ns0:c r="O155" s="7" t="s">
        <ns0:v>901</ns0:v>
      </ns0:c>
      <ns0:c r="P155" s="7" t="s">
        <ns0:v>2036</ns0:v>
      </ns0:c>
      <ns0:c r="Q155" s="7" t="s">
        <ns0:v>2376</ns0:v>
      </ns0:c>
      <ns0:c r="R155" s="7" t="s">
        <ns0:v>1941</ns0:v>
      </ns0:c>
      <ns0:c r="S155" s="73" t="str">
        <ns0:v>探索成長×性的欲望×単独行動×冷徹な合理主義者×集団への義理を切る判断</ns0:v>
      </ns0:c>
      <ns0:c r="T155" s="72" t="str">
        <ns0:v>感情に流されず、リスク排除と自分の欲望を優先する。</ns0:v>
      </ns0:c>
      <ns0:c r="U155" s="72" t="str">
        <ns0:v>未亡人や仲間候補の性格は未確認。</ns0:v>
      </ns0:c>
      <ns0:c r="V155" s="72" t="str">
        <ns0:v>集団の窮状より自己利益を選ぶため、成長と恋愛が本人の自由の獲得として並ぶ。</ns0:v>
      </ns0:c>
      <ns0:c r="W155" s="72" t="str">
        <ns0:v>他者に縛られず利益を取る自己投影。</ns0:v>
      </ns0:c>
      <ns0:c r="X155" s="72" t="str">
        <ns0:v>力をつけて旅立つことを予告。相手別の変奏は未確認。</ns0:v>
      </ns0:c>
      <ns0:c r="Y155" s="74" t="str">
        <ns0:v>冷徹・合理的・欲望重視は紹介文に明記。</ns0:v>
      </ns0:c>
    </ns0:row>
    <ns0:row r="156" ht="64.05000305175781" customHeight="1">
      <ns0:c r="A156" s="2" t="s">
        <ns0:v>608</ns0:v>
      </ns0:c>
      <ns0:c r="B156" s="4">
        <ns0:v>51</ns0:v>
      </ns0:c>
      <ns0:c r="C156" s="2" t="s">
        <ns0:v>902</ns0:v>
      </ns0:c>
      <ns0:c r="D156" s="6" t="s">
        <ns0:v>2082</ns0:v>
      </ns0:c>
      <ns0:c r="E156" s="6" t="s">
        <ns0:v>2063</ns0:v>
      </ns0:c>
      <ns0:c r="F156" s="6"/>
      <ns0:c r="G156" s="2" t="s">
        <ns0:v>2040</ns0:v>
      </ns0:c>
      <ns0:c r="H156" s="2"/>
      <ns0:c r="I156" s="2" t="s">
        <ns0:v>2527</ns0:v>
      </ns0:c>
      <ns0:c r="J156" s="2" t="s">
        <ns0:v>2528</ns0:v>
      </ns0:c>
      <ns0:c r="K156" s="2" t="s">
        <ns0:v>2529</ns0:v>
      </ns0:c>
      <ns0:c r="L156" s="2" t="s">
        <ns0:v>2035</ns0:v>
      </ns0:c>
      <ns0:c r="M156" s="5" t="s">
        <ns0:v>904</ns0:v>
      </ns0:c>
      <ns0:c r="N156" s="7" t="s">
        <ns0:v>905</ns0:v>
      </ns0:c>
      <ns0:c r="O156" s="7" t="s">
        <ns0:v>907</ns0:v>
      </ns0:c>
      <ns0:c r="P156" s="7" t="s">
        <ns0:v>2036</ns0:v>
      </ns0:c>
      <ns0:c r="Q156" s="7" t="s">
        <ns0:v>2376</ns0:v>
      </ns0:c>
      <ns0:c r="R156" s="7" t="s">
        <ns0:v>1998</ns0:v>
      </ns0:c>
      <ns0:c r="S156" s="70" t="str">
        <ns0:v>酒づくり×酒場×元勇者の無双×人の欲望に疲れた寡名志向の中年</ns0:v>
      </ns0:c>
      <ns0:c r="T156" s="69" t="str">
        <ns0:v>人々に嫌気がさし、活躍を知られず静かに暮らしたい。</ns0:v>
      </ns0:c>
      <ns0:c r="U156" s="69" t="str">
        <ns0:v>依頼者や常連の性格は未確認。</ns0:v>
      </ns0:c>
      <ns0:c r="V156" s="69" t="str">
        <ns0:v>英雄の力が称賛の獲得でなく、珍しい酒と静かな稼業の背後に置かれる。</ns0:v>
      </ns0:c>
      <ns0:c r="W156" s="69" t="str">
        <ns0:v>強さを誇らず暮らす落ち着きと珍しい酒への興味。</ns0:v>
      </ns0:c>
      <ns0:c r="X156" s="69" t="str">
        <ns0:v>バーに話が持ち込まれる。内容と変化は未確認。</ns0:v>
      </ns0:c>
      <ns0:c r="Y156" s="71" t="str">
        <ns0:v>静かな生活は明記。毒竜酒はキャッチ、無双の具体場面は未確認。</ns0:v>
      </ns0:c>
    </ns0:row>
    <ns0:row r="157" ht="67.95" customHeight="1">
      <ns0:c r="A157" s="2" t="s">
        <ns0:v>608</ns0:v>
      </ns0:c>
      <ns0:c r="B157" s="4">
        <ns0:v>52</ns0:v>
      </ns0:c>
      <ns0:c r="C157" s="2" t="s">
        <ns0:v>908</ns0:v>
      </ns0:c>
      <ns0:c r="D157" s="6" t="s">
        <ns0:v>2102</ns0:v>
      </ns0:c>
      <ns0:c r="E157" s="6"/>
      <ns0:c r="F157" s="6"/>
      <ns0:c r="G157" s="2" t="s">
        <ns0:v>2040</ns0:v>
      </ns0:c>
      <ns0:c r="H157" s="2"/>
      <ns0:c r="I157" s="2" t="s">
        <ns0:v>2530</ns0:v>
      </ns0:c>
      <ns0:c r="J157" s="2" t="s">
        <ns0:v>2531</ns0:v>
      </ns0:c>
      <ns0:c r="K157" s="2" t="s">
        <ns0:v>2532</ns0:v>
      </ns0:c>
      <ns0:c r="L157" s="2" t="s">
        <ns0:v>2035</ns0:v>
      </ns0:c>
      <ns0:c r="M157" s="5" t="s">
        <ns0:v>910</ns0:v>
      </ns0:c>
      <ns0:c r="N157" s="7" t="s">
        <ns0:v>911</ns0:v>
      </ns0:c>
      <ns0:c r="O157" s="7" t="s">
        <ns0:v>913</ns0:v>
      </ns0:c>
      <ns0:c r="P157" s="7" t="s">
        <ns0:v>2036</ns0:v>
      </ns0:c>
      <ns0:c r="Q157" s="7" t="s">
        <ns0:v>2376</ns0:v>
      </ns0:c>
      <ns0:c r="R157" s="7" t="s">
        <ns0:v>1956</ns0:v>
      </ns0:c>
      <ns0:c r="S157" s="73" t="str">
        <ns0:v>仲間関係×支援技能×好感度低下の代償×残った相手を大切にする主人公×離れない僧侶×後悔する元仲間</ns0:v>
      </ns0:c>
      <ns0:c r="T157" s="72" t="str">
        <ns0:v>事情を知らなくても一緒にいる僧侶を可愛いと考える。</ns0:v>
      </ns0:c>
      <ns0:c r="U157" s="72" t="str">
        <ns0:v>僧侶は残ることを選ぶ。元の女性たちは効果切れで復縁を望む。</ns0:v>
      </ns0:c>
      <ns0:c r="V157" s="72" t="str">
        <ns0:v>人を強くするほど嫌われる力の中で、低下しても残る相手の選択が特別になる。</ns0:v>
      </ns0:c>
      <ns0:c r="W157" s="72" t="str">
        <ns0:v>条件に左右されない信頼と後悔する相手との評価逆転。</ns0:v>
      </ns0:c>
      <ns0:c r="X157" s="72" t="str">
        <ns0:v>11話からハクスラとタグに記載。関係の先は未確認。</ns0:v>
      </ns0:c>
      <ns0:c r="Y157" s="74" t="str">
        <ns0:v>ツンデレ偽聖女の対象と僧侶の同一性は紹介文だけでは未確定。</ns0:v>
      </ns0:c>
    </ns0:row>
    <ns0:row r="158" ht="64.05000305175781" customHeight="1">
      <ns0:c r="A158" s="2" t="s">
        <ns0:v>608</ns0:v>
      </ns0:c>
      <ns0:c r="B158" s="4">
        <ns0:v>53</ns0:v>
      </ns0:c>
      <ns0:c r="C158" s="2" t="s">
        <ns0:v>914</ns0:v>
      </ns0:c>
      <ns0:c r="D158" s="6" t="s">
        <ns0:v>2038</ns0:v>
      </ns0:c>
      <ns0:c r="E158" s="6" t="s">
        <ns0:v>2039</ns0:v>
      </ns0:c>
      <ns0:c r="F158" s="6" t="s">
        <ns0:v>2050</ns0:v>
      </ns0:c>
      <ns0:c r="G158" s="2" t="s">
        <ns0:v>2040</ns0:v>
      </ns0:c>
      <ns0:c r="H158" s="2"/>
      <ns0:c r="I158" s="2" t="s">
        <ns0:v>2533</ns0:v>
      </ns0:c>
      <ns0:c r="J158" s="2" t="s">
        <ns0:v>2534</ns0:v>
      </ns0:c>
      <ns0:c r="K158" s="2" t="s">
        <ns0:v>2535</ns0:v>
      </ns0:c>
      <ns0:c r="L158" s="2" t="s">
        <ns0:v>2035</ns0:v>
      </ns0:c>
      <ns0:c r="M158" s="5" t="s">
        <ns0:v>916</ns0:v>
      </ns0:c>
      <ns0:c r="N158" s="7" t="s">
        <ns0:v>917</ns0:v>
      </ns0:c>
      <ns0:c r="O158" s="7" t="s">
        <ns0:v>919</ns0:v>
      </ns0:c>
      <ns0:c r="P158" s="7" t="s">
        <ns0:v>2036</ns0:v>
      </ns0:c>
      <ns0:c r="Q158" s="7" t="s">
        <ns0:v>2376</ns0:v>
      </ns0:c>
      <ns0:c r="R158" s="7" t="s">
        <ns0:v>1978</ns0:v>
      </ns0:c>
      <ns0:c r="S158" s="70" t="str">
        <ns0:v>破滅回避×建国×原作攻略×休みたい主人公×酔った夢を使命と受け取る亜人たち</ns0:v>
      </ns0:c>
      <ns0:c r="T158" s="69" t="str">
        <ns0:v>搾取を避けて休みたいが、生存のため鍛え救済する。</ns0:v>
      </ns0:c>
      <ns0:c r="U158" s="69" t="str">
        <ns0:v>救われた亜人たちは言葉に感動し、賢王として担ぐ。</ns0:v>
      </ns0:c>
      <ns0:c r="V158" s="69" t="str">
        <ns0:v>共に酒を飲みたいという私的な夢が、周囲には新国家を作る理念として届く。</ns0:v>
      </ns0:c>
      <ns0:c r="W158" s="69" t="str">
        <ns0:v>小さな願いが大きな支持になる快感と認識差。</ns0:v>
      </ns0:c>
      <ns0:c r="X158" s="69" t="str">
        <ns0:v>主人公の攻略と、知らないところでの国家形成が並行。</ns0:v>
      </ns0:c>
      <ns0:c r="Y158" s="71" t="str">
        <ns0:v>本人の意図と亜人の解釈は紹介文で確認。</ns0:v>
      </ns0:c>
    </ns0:row>
    <ns0:row r="159" ht="64.05000305175781" customHeight="1">
      <ns0:c r="A159" s="2" t="s">
        <ns0:v>608</ns0:v>
      </ns0:c>
      <ns0:c r="B159" s="4">
        <ns0:v>54</ns0:v>
      </ns0:c>
      <ns0:c r="C159" s="2" t="s">
        <ns0:v>920</ns0:v>
      </ns0:c>
      <ns0:c r="D159" s="6" t="s">
        <ns0:v>2044</ns0:v>
      </ns0:c>
      <ns0:c r="E159" s="6" t="s">
        <ns0:v>2321</ns0:v>
      </ns0:c>
      <ns0:c r="F159" s="6" t="s">
        <ns0:v>2102</ns0:v>
      </ns0:c>
      <ns0:c r="G159" s="2" t="s">
        <ns0:v>2040</ns0:v>
      </ns0:c>
      <ns0:c r="H159" s="2"/>
      <ns0:c r="I159" s="2" t="s">
        <ns0:v>2536</ns0:v>
      </ns0:c>
      <ns0:c r="J159" s="2" t="s">
        <ns0:v>2537</ns0:v>
      </ns0:c>
      <ns0:c r="K159" s="2" t="s">
        <ns0:v>2538</ns0:v>
      </ns0:c>
      <ns0:c r="L159" s="2" t="s">
        <ns0:v>2035</ns0:v>
      </ns0:c>
      <ns0:c r="M159" s="5" t="s">
        <ns0:v>922</ns0:v>
      </ns0:c>
      <ns0:c r="N159" s="7" t="s">
        <ns0:v>923</ns0:v>
      </ns0:c>
      <ns0:c r="O159" s="7" t="s">
        <ns0:v>925</ns0:v>
      </ns0:c>
      <ns0:c r="P159" s="7" t="s">
        <ns0:v>2036</ns0:v>
      </ns0:c>
      <ns0:c r="Q159" s="7" t="s">
        <ns0:v>2376</ns0:v>
      </ns0:c>
      <ns0:c r="R159" s="7" t="s">
        <ns0:v>1995</ns0:v>
      </ns0:c>
      <ns0:c r="S159" s="73" t="str">
        <ns0:v>冒険成長×性的条件の能力×社会的低評価×弁明する主人公×協力する同級生</ns0:v>
      </ns0:c>
      <ns0:c r="T159" s="72" t="str">
        <ns0:v>純粋に強くなりたいと弁明する。実際の欲望の程度は未確認。</ns0:v>
      </ns0:c>
      <ns0:c r="U159" s="72" t="str">
        <ns0:v>同級生は能力を合わせて協力。性格・激重感情の主は未確認。</ns0:v>
      </ns0:c>
      <ns0:c r="V159" s="72" t="str">
        <ns0:v>強くなる合理的な行動が、社会的には下心の表明に見えてしまう。</ns0:v>
      </ns0:c>
      <ns0:c r="W159" s="72" t="str">
        <ns0:v>能力と体面の衝突の笑い、二人で窮地を越える達成。</ns0:v>
      </ns0:c>
      <ns0:c r="X159" s="72" t="str">
        <ns0:v>能力条件を満たしながら冒険する構造を提示。</ns0:v>
      </ns0:c>
      <ns0:c r="Y159" s="74" t="str">
        <ns0:v>本人の発言と能力条件が根拠。性格をスキルから断定しない。</ns0:v>
      </ns0:c>
    </ns0:row>
    <ns0:row r="160" ht="67.95" customHeight="1">
      <ns0:c r="A160" s="2" t="s">
        <ns0:v>608</ns0:v>
      </ns0:c>
      <ns0:c r="B160" s="4">
        <ns0:v>55</ns0:v>
      </ns0:c>
      <ns0:c r="C160" s="2" t="s">
        <ns0:v>926</ns0:v>
      </ns0:c>
      <ns0:c r="D160" s="6" t="s">
        <ns0:v>2117</ns0:v>
      </ns0:c>
      <ns0:c r="E160" s="6" t="s">
        <ns0:v>2063</ns0:v>
      </ns0:c>
      <ns0:c r="F160" s="6" t="s">
        <ns0:v>2082</ns0:v>
      </ns0:c>
      <ns0:c r="G160" s="2" t="s">
        <ns0:v>2040</ns0:v>
      </ns0:c>
      <ns0:c r="H160" s="2"/>
      <ns0:c r="I160" s="2" t="s">
        <ns0:v>2539</ns0:v>
      </ns0:c>
      <ns0:c r="J160" s="2" t="s">
        <ns0:v>2540</ns0:v>
      </ns0:c>
      <ns0:c r="K160" s="2" t="s">
        <ns0:v>2541</ns0:v>
      </ns0:c>
      <ns0:c r="L160" s="2" t="s">
        <ns0:v>2035</ns0:v>
      </ns0:c>
      <ns0:c r="M160" s="5" t="s">
        <ns0:v>928</ns0:v>
      </ns0:c>
      <ns0:c r="N160" s="7" t="s">
        <ns0:v>929</ns0:v>
      </ns0:c>
      <ns0:c r="O160" s="7" t="s">
        <ns0:v>931</ns0:v>
      </ns0:c>
      <ns0:c r="P160" s="7" t="s">
        <ns0:v>2036</ns0:v>
      </ns0:c>
      <ns0:c r="Q160" s="7" t="s">
        <ns0:v>2376</ns0:v>
      </ns0:c>
      <ns0:c r="R160" s="7" t="s">
        <ns0:v>1951</ns0:v>
      </ns0:c>
      <ns0:c r="S160" s="70" t="str">
        <ns0:v>ギルド経営×カフェ×暇を理想とする主人公×成功へ熱心な仲間×倒産と過労の言葉違い</ns0:v>
      </ns0:c>
      <ns0:c r="T160" s="69" t="str">
        <ns0:v>暇な店で呆れられる暮らしに憧れ、繁盛から現実逃避する。</ns0:v>
      </ns0:c>
      <ns0:c r="U160" s="69" t="str">
        <ns0:v>仲間は最強ギルド化に熱心。受付嬢はあざといとのタグ。</ns0:v>
      </ns0:c>
      <ns0:c r="V160" s="69" t="str">
        <ns0:v>通常は成功の報酬である繁盛が本人には失敗で、味方の善意が望みを遠ざける。</ns0:v>
      </ns0:c>
      <ns0:c r="W160" s="69" t="str">
        <ns0:v>目的の食い違いと慕われて忙しくなる可笑しさ。</ns0:v>
      </ns0:c>
      <ns0:c r="X160" s="69" t="str">
        <ns0:v>依頼・加入者・国家案件が増えると明記。</ns0:v>
      </ns0:c>
      <ns0:c r="Y160" s="71" t="str">
        <ns0:v>理想の台詞が別の意味で叶う会話が根拠。</ns0:v>
      </ns0:c>
    </ns0:row>
    <ns0:row r="161" ht="64.05000305175781" customHeight="1">
      <ns0:c r="A161" s="2" t="s">
        <ns0:v>608</ns0:v>
      </ns0:c>
      <ns0:c r="B161" s="4">
        <ns0:v>56</ns0:v>
      </ns0:c>
      <ns0:c r="C161" s="2" t="s">
        <ns0:v>932</ns0:v>
      </ns0:c>
      <ns0:c r="D161" s="6" t="s">
        <ns0:v>2028</ns0:v>
      </ns0:c>
      <ns0:c r="E161" s="6" t="s">
        <ns0:v>2113</ns0:v>
      </ns0:c>
      <ns0:c r="F161" s="6" t="s">
        <ns0:v>2044</ns0:v>
      </ns0:c>
      <ns0:c r="G161" s="2" t="s">
        <ns0:v>2040</ns0:v>
      </ns0:c>
      <ns0:c r="H161" s="2"/>
      <ns0:c r="I161" s="2" t="s">
        <ns0:v>2542</ns0:v>
      </ns0:c>
      <ns0:c r="J161" s="2" t="s">
        <ns0:v>2543</ns0:v>
      </ns0:c>
      <ns0:c r="K161" s="2" t="s">
        <ns0:v>2544</ns0:v>
      </ns0:c>
      <ns0:c r="L161" s="2" t="s">
        <ns0:v>2035</ns0:v>
      </ns0:c>
      <ns0:c r="M161" s="5" t="s">
        <ns0:v>934</ns0:v>
      </ns0:c>
      <ns0:c r="N161" s="7" t="s">
        <ns0:v>935</ns0:v>
      </ns0:c>
      <ns0:c r="O161" s="7" t="s">
        <ns0:v>937</ns0:v>
      </ns0:c>
      <ns0:c r="P161" s="7" t="s">
        <ns0:v>2036</ns0:v>
      </ns0:c>
      <ns0:c r="Q161" s="7" t="s">
        <ns0:v>2376</ns0:v>
      </ns0:c>
      <ns0:c r="R161" s="7" t="s">
        <ns0:v>1987</ns0:v>
      </ns0:c>
      <ns0:c r="S161" s="73" t="str">
        <ns0:v>育成×家族扶養×正体隠し×仕事では有能な怠惰な姉×姉を甘やかす妹</ns0:v>
      </ns0:c>
      <ns0:c r="T161" s="72" t="str">
        <ns0:v>妹に甘えて無職だったが、学費のため動く。教壇では有能。</ns0:v>
      </ns0:c>
      <ns0:c r="U161" s="72" t="str">
        <ns0:v>妹は姉を甘やかし、学費を理由に進学を諦めかける。</ns0:v>
      </ns0:c>
      <ns0:c r="V161" s="72" t="str">
        <ns0:v>家では支えられる側の姉が、妹のために働く場では規格外の支援者になる。</ns0:v>
      </ns0:c>
      <ns0:c r="W161" s="72" t="str">
        <ns0:v>駄目さと有能さの落差、家族への恩返し。</ns0:v>
      </ns0:c>
      <ns0:c r="X161" s="72" t="str">
        <ns0:v>生徒指導と危険への対応を紹介。過去の魔女名も秘密。</ns0:v>
      </ns0:c>
      <ns0:c r="Y161" s="74" t="str">
        <ns0:v>姉妹の傾向と授業の実力は紹介文に明記。</ns0:v>
      </ns0:c>
    </ns0:row>
    <ns0:row r="162" ht="64.05000305175781" customHeight="1">
      <ns0:c r="A162" s="2" t="s">
        <ns0:v>608</ns0:v>
      </ns0:c>
      <ns0:c r="B162" s="4">
        <ns0:v>57</ns0:v>
      </ns0:c>
      <ns0:c r="C162" s="2" t="s">
        <ns0:v>938</ns0:v>
      </ns0:c>
      <ns0:c r="D162" s="6" t="s">
        <ns0:v>2077</ns0:v>
      </ns0:c>
      <ns0:c r="E162" s="6"/>
      <ns0:c r="F162" s="6"/>
      <ns0:c r="G162" s="9" t="s">
        <ns0:v>2059</ns0:v>
      </ns0:c>
      <ns0:c r="H162" s="9" t="s">
        <ns0:v>2077</ns0:v>
      </ns0:c>
      <ns0:c r="I162" s="2" t="s">
        <ns0:v>2545</ns0:v>
      </ns0:c>
      <ns0:c r="J162" s="2" t="s">
        <ns0:v>2546</ns0:v>
      </ns0:c>
      <ns0:c r="K162" s="2" t="s">
        <ns0:v>2547</ns0:v>
      </ns0:c>
      <ns0:c r="L162" s="2" t="s">
        <ns0:v>2035</ns0:v>
      </ns0:c>
      <ns0:c r="M162" s="5" t="s">
        <ns0:v>940</ns0:v>
      </ns0:c>
      <ns0:c r="N162" s="7" t="s">
        <ns0:v>941</ns0:v>
      </ns0:c>
      <ns0:c r="O162" s="7" t="s">
        <ns0:v>943</ns0:v>
      </ns0:c>
      <ns0:c r="P162" s="7" t="s">
        <ns0:v>2036</ns0:v>
      </ns0:c>
      <ns0:c r="Q162" s="7" t="s">
        <ns0:v>2376</ns0:v>
      </ns0:c>
      <ns0:c r="R162" s="7" t="s">
        <ns0:v>1992</ns0:v>
      </ns0:c>
      <ns0:c r="S162" s="70" t="str">
        <ns0:v>職場体験×無双×正体隠し×現場を知りたい妃×心配して胃を痛める宰相</ns0:v>
      </ns0:c>
      <ns0:c r="T162" s="69" t="str">
        <ns0:v>頭の固い王妃を避け、実際に働く人の仕事を体験したい。</ns0:v>
      </ns0:c>
      <ns0:c r="U162" s="69" t="str">
        <ns0:v>宰相は難色を示し、隠せない活躍に心を痛める。</ns0:v>
      </ns0:c>
      <ns0:c r="V162" s="69" t="str">
        <ns0:v>現場に学びたい高位者が能力を発揮し過ぎて、周囲の調整役の負担になる。</ns0:v>
      </ns0:c>
      <ns0:c r="W162" s="69" t="str">
        <ns0:v>有能さの発見と善意の行動に振り回される笑い。</ns0:v>
      </ns0:c>
      <ns0:c r="X162" s="69" t="str">
        <ns0:v>行き先ごとの職業体験で能力の見せ場を変えられる。</ns0:v>
      </ns0:c>
      <ns0:c r="Y162" s="71" t="str">
        <ns0:v>本人の志望と宰相の反応は明記。</ns0:v>
      </ns0:c>
    </ns0:row>
    <ns0:row r="163" ht="64.05000305175781" customHeight="1">
      <ns0:c r="A163" s="2" t="s">
        <ns0:v>608</ns0:v>
      </ns0:c>
      <ns0:c r="B163" s="4">
        <ns0:v>58</ns0:v>
      </ns0:c>
      <ns0:c r="C163" s="2" t="s">
        <ns0:v>944</ns0:v>
      </ns0:c>
      <ns0:c r="D163" s="6" t="s">
        <ns0:v>2039</ns0:v>
      </ns0:c>
      <ns0:c r="E163" s="6" t="s">
        <ns0:v>2174</ns0:v>
      </ns0:c>
      <ns0:c r="F163" s="6" t="s">
        <ns0:v>2117</ns0:v>
      </ns0:c>
      <ns0:c r="G163" s="2" t="s">
        <ns0:v>2040</ns0:v>
      </ns0:c>
      <ns0:c r="H163" s="2"/>
      <ns0:c r="I163" s="2" t="s">
        <ns0:v>2548</ns0:v>
      </ns0:c>
      <ns0:c r="J163" s="2" t="s">
        <ns0:v>2549</ns0:v>
      </ns0:c>
      <ns0:c r="K163" s="2" t="s">
        <ns0:v>2550</ns0:v>
      </ns0:c>
      <ns0:c r="L163" s="2" t="s">
        <ns0:v>2035</ns0:v>
      </ns0:c>
      <ns0:c r="M163" s="5" t="s">
        <ns0:v>945</ns0:v>
      </ns0:c>
      <ns0:c r="N163" s="7" t="s">
        <ns0:v>946</ns0:v>
      </ns0:c>
      <ns0:c r="O163" s="7" t="s">
        <ns0:v>948</ns0:v>
      </ns0:c>
      <ns0:c r="P163" s="7" t="s">
        <ns0:v>2036</ns0:v>
      </ns0:c>
      <ns0:c r="Q163" s="7" t="s">
        <ns0:v>2376</ns0:v>
      </ns0:c>
      <ns0:c r="R163" s="7" t="s">
        <ns0:v>1962</ns0:v>
      </ns0:c>
      <ns0:c r="S163" s="73" t="str">
        <ns0:v>問題解決×分身×知識・人脈の集積×自分を平凡と思う文官×各国で出世した分身</ns0:v>
      </ns0:c>
      <ns0:c r="T163" s="72" t="str">
        <ns0:v>分身の地位を深く考えず、自分は平凡と思い込む。</ns0:v>
      </ns0:c>
      <ns0:c r="U163" s="72" t="str">
        <ns0:v>分身は各分野の要人。職業以外の性格は未確認。</ns0:v>
      </ns0:c>
      <ns0:c r="V163" s="72" t="str">
        <ns0:v>控えめな自己認識の背後に六分野の社会的権力があり、普通の文官仕事の規模を超える。</ns0:v>
      </ns0:c>
      <ns0:c r="W163" s="72" t="str">
        <ns0:v>隠れた人脈の活用と本人・世界の尺度の差。</ns0:v>
      </ns0:c>
      <ns0:c r="X163" s="72" t="str">
        <ns0:v>軍事・商業・宗教など異なる案件を紹介。</ns0:v>
      </ns0:c>
      <ns0:c r="Y163" s="74" t="str">
        <ns0:v>分身の役職を性格として扱わない。</ns0:v>
      </ns0:c>
    </ns0:row>
    <ns0:row r="164" ht="67.95" customHeight="1">
      <ns0:c r="A164" s="2" t="s">
        <ns0:v>608</ns0:v>
      </ns0:c>
      <ns0:c r="B164" s="4">
        <ns0:v>59</ns0:v>
      </ns0:c>
      <ns0:c r="C164" s="2" t="s">
        <ns0:v>949</ns0:v>
      </ns0:c>
      <ns0:c r="D164" s="6" t="s">
        <ns0:v>2039</ns0:v>
      </ns0:c>
      <ns0:c r="E164" s="6" t="s">
        <ns0:v>2050</ns0:v>
      </ns0:c>
      <ns0:c r="F164" s="6" t="s">
        <ns0:v>2102</ns0:v>
      </ns0:c>
      <ns0:c r="G164" s="2" t="s">
        <ns0:v>2040</ns0:v>
      </ns0:c>
      <ns0:c r="H164" s="2"/>
      <ns0:c r="I164" s="2" t="s">
        <ns0:v>2551</ns0:v>
      </ns0:c>
      <ns0:c r="J164" s="2" t="s">
        <ns0:v>2552</ns0:v>
      </ns0:c>
      <ns0:c r="K164" s="2" t="s">
        <ns0:v>2553</ns0:v>
      </ns0:c>
      <ns0:c r="L164" s="2" t="s">
        <ns0:v>2035</ns0:v>
      </ns0:c>
      <ns0:c r="M164" s="5" t="s">
        <ns0:v>950</ns0:v>
      </ns0:c>
      <ns0:c r="N164" s="7" t="s">
        <ns0:v>951</ns0:v>
      </ns0:c>
      <ns0:c r="O164" s="7" t="s">
        <ns0:v>953</ns0:v>
      </ns0:c>
      <ns0:c r="P164" s="7" t="s">
        <ns0:v>2036</ns0:v>
      </ns0:c>
      <ns0:c r="Q164" s="7" t="s">
        <ns0:v>2376</ns0:v>
      </ns0:c>
      <ns0:c r="R164" s="7" t="s">
        <ns0:v>1976</ns0:v>
      </ns0:c>
      <ns0:c r="S164" s="70" t="str">
        <ns0:v>建国×死者蘇生×追放×不幸と思わない大らかな主人公×離れない魔女×救いたい姫騎士・後悔する元婚約者</ns0:v>
      </ns0:c>
      <ns0:c r="T164" s="69" t="str">
        <ns0:v>追放を前向きに捉え、魔女にも食事を気遣う。</ns0:v>
      </ns0:c>
      <ns0:c r="U164" s="69" t="str">
        <ns0:v>魔女は離れず、姫騎士は救済を決意、元婚約者は後悔を重ねる。</ns0:v>
      </ns0:c>
      <ns0:c r="V164" s="69" t="str">
        <ns0:v>本人の平気な態度が周囲には痛みを隠す優しさに見え、罪悪感と愛が深まる。</ns0:v>
      </ns0:c>
      <ns0:c r="W164" s="69" t="str">
        <ns0:v>重い好意を向けられる満足と苦境認識のずれ。</ns0:v>
      </ns0:c>
      <ns0:c r="X164" s="69" t="str">
        <ns0:v>蘇生による住人増加とヒロインの認識差が並行する。</ns0:v>
      </ns0:c>
      <ns0:c r="Y164" s="71" t="str">
        <ns0:v>各人の傾向は紹介文に明記。ヤンデレはタグで行動の細部は未確認。</ns0:v>
      </ns0:c>
    </ns0:row>
    <ns0:row r="165" ht="64.05000305175781" customHeight="1">
      <ns0:c r="A165" s="2" t="s">
        <ns0:v>608</ns0:v>
      </ns0:c>
      <ns0:c r="B165" s="4">
        <ns0:v>60</ns0:v>
      </ns0:c>
      <ns0:c r="C165" s="2" t="s">
        <ns0:v>954</ns0:v>
      </ns0:c>
      <ns0:c r="D165" s="6" t="s">
        <ns0:v>2082</ns0:v>
      </ns0:c>
      <ns0:c r="E165" s="6" t="s">
        <ns0:v>2321</ns0:v>
      </ns0:c>
      <ns0:c r="F165" s="6" t="s">
        <ns0:v>2102</ns0:v>
      </ns0:c>
      <ns0:c r="G165" s="2" t="s">
        <ns0:v>2040</ns0:v>
      </ns0:c>
      <ns0:c r="H165" s="2"/>
      <ns0:c r="I165" s="2" t="s">
        <ns0:v>2554</ns0:v>
      </ns0:c>
      <ns0:c r="J165" s="2" t="s">
        <ns0:v>2555</ns0:v>
      </ns0:c>
      <ns0:c r="K165" s="2" t="s">
        <ns0:v>2556</ns0:v>
      </ns0:c>
      <ns0:c r="L165" s="2" t="s">
        <ns0:v>2035</ns0:v>
      </ns0:c>
      <ns0:c r="M165" s="5" t="s">
        <ns0:v>956</ns0:v>
      </ns0:c>
      <ns0:c r="N165" s="7" t="s">
        <ns0:v>957</ns0:v>
      </ns0:c>
      <ns0:c r="O165" s="7" t="s">
        <ns0:v>959</ns0:v>
      </ns0:c>
      <ns0:c r="P165" s="7" t="s">
        <ns0:v>2036</ns0:v>
      </ns0:c>
      <ns0:c r="Q165" s="7" t="s">
        <ns0:v>2376</ns0:v>
      </ns0:c>
      <ns0:c r="R165" s="7" t="s">
        <ns0:v>1940</ns0:v>
      </ns0:c>
      <ns0:c r="S165" s="73" t="str">
        <ns0:v>料理×旅×料理と戦闘の能力分担×マイペースな料理人×偏食で徐々に過保護になる最強皇女</ns0:v>
      </ns0:c>
      <ns0:c r="T165" s="72" t="str">
        <ns0:v>グルメ旅を優先する。その他の性格は未確認。</ns0:v>
      </ns0:c>
      <ns0:c r="U165" s="72" t="str">
        <ns0:v>皇女は偏食で、懐くほど過保護になる。クーデレはタグ。</ns0:v>
      </ns0:c>
      <ns0:c r="V165" s="72" t="str">
        <ns0:v>戦闘では守ってくれる最強者が、食事では主人公に頼るため、互いに必要な強みが異なる。</ns0:v>
      </ns0:c>
      <ns0:c r="W165" s="72" t="str">
        <ns0:v>守られる安心と自分だけが満たせる特別感。</ns0:v>
      </ns0:c>
      <ns0:c r="X165" s="72" t="str">
        <ns0:v>食事と旅の反復に、懐き方・過保護さの変化が明記。</ns0:v>
      </ns0:c>
      <ns0:c r="Y165" s="74" t="str">
        <ns0:v>能力分担と性格の変化を紹介文で確認。</ns0:v>
      </ns0:c>
    </ns0:row>
    <ns0:row r="166" ht="82.05000305175781" customHeight="1">
      <ns0:c r="A166" s="2" t="s">
        <ns0:v>608</ns0:v>
      </ns0:c>
      <ns0:c r="B166" s="4">
        <ns0:v>61</ns0:v>
      </ns0:c>
      <ns0:c r="C166" s="2" t="s">
        <ns0:v>960</ns0:v>
      </ns0:c>
      <ns0:c r="D166" s="6" t="s">
        <ns0:v>2054</ns0:v>
      </ns0:c>
      <ns0:c r="E166" s="6" t="s">
        <ns0:v>2050</ns0:v>
      </ns0:c>
      <ns0:c r="F166" s="6" t="s">
        <ns0:v>2030</ns0:v>
      </ns0:c>
      <ns0:c r="G166" s="2" t="s">
        <ns0:v>2040</ns0:v>
      </ns0:c>
      <ns0:c r="H166" s="2"/>
      <ns0:c r="I166" s="2" t="s">
        <ns0:v>2557</ns0:v>
      </ns0:c>
      <ns0:c r="J166" s="2" t="s">
        <ns0:v>2558</ns0:v>
      </ns0:c>
      <ns0:c r="K166" s="2" t="s">
        <ns0:v>2559</ns0:v>
      </ns0:c>
      <ns0:c r="L166" s="2" t="s">
        <ns0:v>2035</ns0:v>
      </ns0:c>
      <ns0:c r="M166" s="5" t="s">
        <ns0:v>961</ns0:v>
      </ns0:c>
      <ns0:c r="N166" s="7" t="s">
        <ns0:v>962</ns0:v>
      </ns0:c>
      <ns0:c r="O166" s="7" t="s">
        <ns0:v>964</ns0:v>
      </ns0:c>
      <ns0:c r="P166" s="7" t="s">
        <ns0:v>2036</ns0:v>
      </ns0:c>
      <ns0:c r="Q166" s="7" t="s">
        <ns0:v>2376</ns0:v>
      </ns0:c>
      <ns0:c r="R166" s="7" t="s">
        <ns0:v>1988</ns0:v>
      </ns0:c>
      <ns0:c r="S166" s="70" t="str">
        <ns0:v>探索・救助×支援停止の再評価×絶対防御×危険地帯を散歩する騎士×手柄を独占したい勇者</ns0:v>
      </ns0:c>
      <ns0:c r="T166" s="69" t="str">
        <ns0:v>解放後は危険地帯でも悠々と行動する。元来の性格は限定的。</ns0:v>
      </ns0:c>
      <ns0:c r="U166" s="69" t="str">
        <ns0:v>勇者は傲慢で手柄を独占したい。皇女の性格は未確認。</ns0:v>
      </ns0:c>
      <ns0:c r="V166" s="69" t="str">
        <ns0:v>被害を小さく抑えるため見えなかった貢献が、不在時の即死危機で判明する。</ns0:v>
      </ns0:c>
      <ns0:c r="W166" s="69" t="str">
        <ns0:v>防御の頼もしさと過小評価の訂正。</ns0:v>
      </ns0:c>
      <ns0:c r="X166" s="69" t="str">
        <ns0:v>罠・呪い・神罰と無効化する対象が拡張する。</ns0:v>
      </ns0:c>
      <ns0:c r="Y166" s="71" t="str">
        <ns0:v>勇者の性格と主人公の行動は紹介文に明記。</ns0:v>
      </ns0:c>
    </ns0:row>
    <ns0:row r="167" ht="64.05000305175781" customHeight="1">
      <ns0:c r="A167" s="2" t="s">
        <ns0:v>608</ns0:v>
      </ns0:c>
      <ns0:c r="B167" s="4">
        <ns0:v>62</ns0:v>
      </ns0:c>
      <ns0:c r="C167" s="2" t="s">
        <ns0:v>965</ns0:v>
      </ns0:c>
      <ns0:c r="D167" s="6" t="s">
        <ns0:v>2054</ns0:v>
      </ns0:c>
      <ns0:c r="E167" s="6" t="s">
        <ns0:v>2044</ns0:v>
      </ns0:c>
      <ns0:c r="F167" s="6"/>
      <ns0:c r="G167" s="2" t="s">
        <ns0:v>2040</ns0:v>
      </ns0:c>
      <ns0:c r="H167" s="2"/>
      <ns0:c r="I167" s="2" t="s">
        <ns0:v>2560</ns0:v>
      </ns0:c>
      <ns0:c r="J167" s="2" t="s">
        <ns0:v>2561</ns0:v>
      </ns0:c>
      <ns0:c r="K167" s="2" t="s">
        <ns0:v>2562</ns0:v>
      </ns0:c>
      <ns0:c r="L167" s="2" t="s">
        <ns0:v>2173</ns0:v>
      </ns0:c>
      <ns0:c r="M167" s="5" t="s">
        <ns0:v>967</ns0:v>
      </ns0:c>
      <ns0:c r="N167" s="7" t="s">
        <ns0:v>968</ns0:v>
      </ns0:c>
      <ns0:c r="O167" s="7" t="s">
        <ns0:v>970</ns0:v>
      </ns0:c>
      <ns0:c r="P167" s="7" t="s">
        <ns0:v>2036</ns0:v>
      </ns0:c>
      <ns0:c r="Q167" s="7" t="s">
        <ns0:v>2376</ns0:v>
      </ns0:c>
      <ns0:c r="R167" s="7" t="s">
        <ns0:v>1959</ns0:v>
      </ns0:c>
      <ns0:c r="S167" s="73" t="str">
        <ns0:v>冒険生存×アバター転生×ゲーム装備×ゲームに熱中していた男性×想定以上に強い異世界</ns0:v>
      </ns0:c>
      <ns0:c r="T167" s="72" t="str">
        <ns0:v>余命の中でゲームに熱中し、転生後は正体を偽る。</ns0:v>
      </ns0:c>
      <ns0:c r="U167" s="72" t="str">
        <ns0:v>主要な相手役の性格は未確認。</ns0:v>
      </ns0:c>
      <ns0:c r="V167" s="72" t="str">
        <ns0:v>完成した強さで第二の人生を得ても、敵の尺度が違うため改めて探索と適応が必要になる。</ns0:v>
      </ns0:c>
      <ns0:c r="W167" s="72" t="str">
        <ns0:v>強い身体を得る解放感と未知の強敵への緊張。</ns0:v>
      </ns0:c>
      <ns0:c r="X167" s="72" t="str">
        <ns0:v>異世界を歩く方針。人間関係の変化は未確認。</ns0:v>
      </ns0:c>
      <ns0:c r="Y167" s="74" t="str">
        <ns0:v>敵がゲーム常識を越えると明記。単純な最初から無敵とはしない。</ns0:v>
      </ns0:c>
    </ns0:row>
    <ns0:row r="168" ht="64.05000305175781" customHeight="1">
      <ns0:c r="A168" s="2" t="s">
        <ns0:v>608</ns0:v>
      </ns0:c>
      <ns0:c r="B168" s="4">
        <ns0:v>63</ns0:v>
      </ns0:c>
      <ns0:c r="C168" s="2" t="s">
        <ns0:v>971</ns0:v>
      </ns0:c>
      <ns0:c r="D168" s="6" t="s">
        <ns0:v>2407</ns0:v>
      </ns0:c>
      <ns0:c r="E168" s="6" t="s">
        <ns0:v>2039</ns0:v>
      </ns0:c>
      <ns0:c r="F168" s="6" t="s">
        <ns0:v>2284</ns0:v>
      </ns0:c>
      <ns0:c r="G168" s="2" t="s">
        <ns0:v>2040</ns0:v>
      </ns0:c>
      <ns0:c r="H168" s="2"/>
      <ns0:c r="I168" s="2" t="s">
        <ns0:v>2563</ns0:v>
      </ns0:c>
      <ns0:c r="J168" s="2" t="s">
        <ns0:v>2564</ns0:v>
      </ns0:c>
      <ns0:c r="K168" s="2" t="s">
        <ns0:v>2565</ns0:v>
      </ns0:c>
      <ns0:c r="L168" s="2" t="s">
        <ns0:v>2035</ns0:v>
      </ns0:c>
      <ns0:c r="M168" s="5" t="s">
        <ns0:v>973</ns0:v>
      </ns0:c>
      <ns0:c r="N168" s="7" t="s">
        <ns0:v>974</ns0:v>
      </ns0:c>
      <ns0:c r="O168" s="7" t="s">
        <ns0:v>976</ns0:v>
      </ns0:c>
      <ns0:c r="P168" s="7" t="s">
        <ns0:v>2036</ns0:v>
      </ns0:c>
      <ns0:c r="Q168" s="7" t="s">
        <ns0:v>2376</ns0:v>
      </ns0:c>
      <ns0:c r="R168" s="7" t="s">
        <ns0:v>1908</ns0:v>
      </ns0:c>
      <ns0:c r="S168" s="70" t="str">
        <ns0:v>統治・戦争×廃棄物調達×現代知識×価値の逆転×歴史オタクの主人公</ns0:v>
      </ns0:c>
      <ns0:c r="T168" s="69" t="str">
        <ns0:v>歴史好きで、失望した能力の価値を見直す。詳細性格未確認。</ns0:v>
      </ns0:c>
      <ns0:c r="U168" s="69" t="str">
        <ns0:v>貴族令嬢たちの性格は未確認。</ns0:v>
      </ns0:c>
      <ns0:c r="V168" s="69" t="str">
        <ns0:v>日本では不要な物が別の技術水準では資源となり、歴史知識と組んで国力へ換わる。</ns0:v>
      </ns0:c>
      <ns0:c r="W168" s="69" t="str">
        <ns0:v>不要品の宝物化と知識で大きく動かす満足。</ns0:v>
      </ns0:c>
      <ns0:c r="X168" s="69" t="str">
        <ns0:v>Web版は大陸制覇、書籍版は内政寄りと紹介。</ns0:v>
      </ns0:c>
      <ns0:c r="Y168" s="71" t="str">
        <ns0:v>同じ題名でも媒体で味が異なると明記。媒体の説明を混同しない。</ns0:v>
      </ns0:c>
    </ns0:row>
    <ns0:row r="169" ht="64.05000305175781" customHeight="1">
      <ns0:c r="A169" s="2" t="s">
        <ns0:v>608</ns0:v>
      </ns0:c>
      <ns0:c r="B169" s="4">
        <ns0:v>64</ns0:v>
      </ns0:c>
      <ns0:c r="C169" s="2" t="s">
        <ns0:v>977</ns0:v>
      </ns0:c>
      <ns0:c r="D169" s="6" t="s">
        <ns0:v>2073</ns0:v>
      </ns0:c>
      <ns0:c r="E169" s="6" t="s">
        <ns0:v>2044</ns0:v>
      </ns0:c>
      <ns0:c r="F169" s="6" t="s">
        <ns0:v>2030</ns0:v>
      </ns0:c>
      <ns0:c r="G169" s="2" t="s">
        <ns0:v>2040</ns0:v>
      </ns0:c>
      <ns0:c r="H169" s="2"/>
      <ns0:c r="I169" s="2" t="s">
        <ns0:v>2566</ns0:v>
      </ns0:c>
      <ns0:c r="J169" s="2" t="s">
        <ns0:v>2567</ns0:v>
      </ns0:c>
      <ns0:c r="K169" s="2" t="s">
        <ns0:v>2568</ns0:v>
      </ns0:c>
      <ns0:c r="L169" s="2" t="s">
        <ns0:v>2035</ns0:v>
      </ns0:c>
      <ns0:c r="M169" s="5" t="s">
        <ns0:v>979</ns0:v>
      </ns0:c>
      <ns0:c r="N169" s="7" t="s">
        <ns0:v>980</ns0:v>
      </ns0:c>
      <ns0:c r="O169" s="7" t="s">
        <ns0:v>982</ns0:v>
      </ns0:c>
      <ns0:c r="P169" s="7" t="s">
        <ns0:v>2036</ns0:v>
      </ns0:c>
      <ns0:c r="Q169" s="7" t="s">
        <ns0:v>2376</ns0:v>
      </ns0:c>
      <ns0:c r="R169" s="7" t="s">
        <ns0:v>1943</ns0:v>
      </ns0:c>
      <ns0:c r="S169" s="73" t="str">
        <ns0:v>復讐×低評価能力の逆用×長ネギ生成×奪い返したい主人公×見捨てた婚約者・勇者側の自滅</ns0:v>
      </ns0:c>
      <ns0:c r="T169" s="72" t="str">
        <ns0:v>力の真価に気づき、復讐へ進む。細かな性格未確認。</ns0:v>
      </ns0:c>
      <ns0:c r="U169" s="72" t="str">
        <ns0:v>婚約者は主人公を顧みない。勇者側は私生活で討伐が停止する。</ns0:v>
      </ns0:c>
      <ns0:c r="V169" s="72" t="str">
        <ns0:v>弱く見える食材能力の暴威と、勇者側の威信崩壊が地位を逆転させる。</ns0:v>
      </ns0:c>
      <ns0:c r="W169" s="72" t="str">
        <ns0:v>侮られた力での報復と意外な道具の強さ。</ns0:v>
      </ns0:c>
      <ns0:c r="X169" s="72" t="str">
        <ns0:v>四天王・魔王の撃破まで紹介。支配後の変奏は未確認。</ns0:v>
      </ns0:c>
      <ns0:c r="Y169" s="74" t="str">
        <ns0:v>長ネギの具体的な強さの仕組みは紹介文では未説明。</ns0:v>
      </ns0:c>
    </ns0:row>
    <ns0:row r="170" ht="64.05000305175781" customHeight="1">
      <ns0:c r="A170" s="2" t="s">
        <ns0:v>608</ns0:v>
      </ns0:c>
      <ns0:c r="B170" s="4">
        <ns0:v>65</ns0:v>
      </ns0:c>
      <ns0:c r="C170" s="2" t="s">
        <ns0:v>983</ns0:v>
      </ns0:c>
      <ns0:c r="D170" s="6" t="s">
        <ns0:v>2038</ns0:v>
      </ns0:c>
      <ns0:c r="E170" s="6"/>
      <ns0:c r="F170" s="6"/>
      <ns0:c r="G170" s="2" t="s">
        <ns0:v>2040</ns0:v>
      </ns0:c>
      <ns0:c r="H170" s="2"/>
      <ns0:c r="I170" s="2" t="s">
        <ns0:v>2569</ns0:v>
      </ns0:c>
      <ns0:c r="J170" s="2" t="s">
        <ns0:v>2570</ns0:v>
      </ns0:c>
      <ns0:c r="K170" s="2" t="s">
        <ns0:v>2571</ns0:v>
      </ns0:c>
      <ns0:c r="L170" s="2" t="s">
        <ns0:v>2173</ns0:v>
      </ns0:c>
      <ns0:c r="M170" s="5" t="s">
        <ns0:v>985</ns0:v>
      </ns0:c>
      <ns0:c r="N170" s="7" t="s">
        <ns0:v>986</ns0:v>
      </ns0:c>
      <ns0:c r="O170" s="7" t="s">
        <ns0:v>988</ns0:v>
      </ns0:c>
      <ns0:c r="P170" s="7" t="s">
        <ns0:v>2036</ns0:v>
      </ns0:c>
      <ns0:c r="Q170" s="7" t="s">
        <ns0:v>2376</ns0:v>
      </ns0:c>
      <ns0:c r="R170" s="7" t="s">
        <ns0:v>1966</ns0:v>
      </ns0:c>
      <ns0:c r="S170" s="70" t="str">
        <ns0:v>生存・自立×魔力の極少×危険な加護×諦めない令嬢×死を望む家族</ns0:v>
      </ns0:c>
      <ns0:c r="T170" s="69" t="str">
        <ns0:v>餓死を受け入れず、命をかけて選択する。</ns0:v>
      </ns0:c>
      <ns0:c r="U170" s="69" t="str">
        <ns0:v>父と後妻は隔離し自然死を望むとされる。</ns0:v>
      </ns0:c>
      <ns0:c r="V170" s="69" t="str">
        <ns0:v>使っても死ぬかもしれない力が、使わなければ死ぬ状況で唯一の選択肢になる。</ns0:v>
      </ns0:c>
      <ns0:c r="W170" s="69" t="str">
        <ns0:v>追い詰められても諦めない姿と制約突破への期待。</ns0:v>
      </ns0:c>
      <ns0:c r="X170" s="69" t="str">
        <ns0:v>決断までの紹介で、能力運用の詳細は未確認。</ns0:v>
      </ns0:c>
      <ns0:c r="Y170" s="71" t="str">
        <ns0:v>ど根性はキャッチ、決意は紹介文。万能収納の応用は補完しない。</ns0:v>
      </ns0:c>
    </ns0:row>
    <ns0:row r="171" ht="64.05000305175781" customHeight="1">
      <ns0:c r="A171" s="2" t="s">
        <ns0:v>608</ns0:v>
      </ns0:c>
      <ns0:c r="B171" s="4">
        <ns0:v>66</ns0:v>
      </ns0:c>
      <ns0:c r="C171" s="2" t="s">
        <ns0:v>989</ns0:v>
      </ns0:c>
      <ns0:c r="D171" s="6" t="s">
        <ns0:v>2572</ns0:v>
      </ns0:c>
      <ns0:c r="E171" s="6" t="s">
        <ns0:v>2058</ns0:v>
      </ns0:c>
      <ns0:c r="F171" s="6" t="s">
        <ns0:v>2102</ns0:v>
      </ns0:c>
      <ns0:c r="G171" s="9" t="s">
        <ns0:v>2031</ns0:v>
      </ns0:c>
      <ns0:c r="H171" s="9" t="s">
        <ns0:v>2058</ns0:v>
      </ns0:c>
      <ns0:c r="I171" s="2" t="s">
        <ns0:v>2573</ns0:v>
      </ns0:c>
      <ns0:c r="J171" s="2" t="s">
        <ns0:v>2574</ns0:v>
      </ns0:c>
      <ns0:c r="K171" s="2" t="s">
        <ns0:v>2575</ns0:v>
      </ns0:c>
      <ns0:c r="L171" s="2" t="s">
        <ns0:v>2035</ns0:v>
      </ns0:c>
      <ns0:c r="M171" s="5" t="s">
        <ns0:v>991</ns0:v>
      </ns0:c>
      <ns0:c r="N171" s="7" t="s">
        <ns0:v>992</ns0:v>
      </ns0:c>
      <ns0:c r="O171" s="7" t="s">
        <ns0:v>994</ns0:v>
      </ns0:c>
      <ns0:c r="P171" s="7" t="s">
        <ns0:v>2036</ns0:v>
      </ns0:c>
      <ns0:c r="Q171" s="7" t="s">
        <ns0:v>2376</ns0:v>
      </ns0:c>
      <ns0:c r="R171" s="7" t="s">
        <ns0:v>1930</ns0:v>
      </ns0:c>
      <ns0:c r="S171" s="73" t="str">
        <ns0:v>真相発見×主従関係×悪役演技×推しを守りたいメイド×裏で国を守る令嬢</ns0:v>
      </ns0:c>
      <ns0:c r="T171" s="72" t="str">
        <ns0:v>推しへの加害を止めるため主人の妨害を考える。</ns0:v>
      </ns0:c>
      <ns0:c r="U171" s="72" t="str">
        <ns0:v>令嬢は悪役を演じ、裏で王国を守る。普段の性格未確認。</ns0:v>
      </ns0:c>
      <ns0:c r="V171" s="72" t="str">
        <ns0:v>妨害すべき敵と見ていた相手の行動目的が逆転し、主従の理解が揺れる。</ns0:v>
      </ns0:c>
      <ns0:c r="W171" s="72" t="str">
        <ns0:v>悪役像の読み替えと近しい相手の再発見。</ns0:v>
      </ns0:c>
      <ns0:c r="X171" s="72" t="str">
        <ns0:v>主従・百合はタグ。真相後の関係推移は未確認。</ns0:v>
      </ns0:c>
      <ns0:c r="Y171" s="74" t="str">
        <ns0:v>暗躍の動機は明記。強さや立場だけでクール等を付けない。</ns0:v>
      </ns0:c>
    </ns0:row>
    <ns0:row r="172" ht="64.05000305175781" customHeight="1">
      <ns0:c r="A172" s="2" t="s">
        <ns0:v>608</ns0:v>
      </ns0:c>
      <ns0:c r="B172" s="4">
        <ns0:v>67</ns0:v>
      </ns0:c>
      <ns0:c r="C172" s="2" t="s">
        <ns0:v>995</ns0:v>
      </ns0:c>
      <ns0:c r="D172" s="6" t="s">
        <ns0:v>2038</ns0:v>
      </ns0:c>
      <ns0:c r="E172" s="6" t="s">
        <ns0:v>2050</ns0:v>
      </ns0:c>
      <ns0:c r="F172" s="6" t="s">
        <ns0:v>2102</ns0:v>
      </ns0:c>
      <ns0:c r="G172" s="2" t="s">
        <ns0:v>2040</ns0:v>
      </ns0:c>
      <ns0:c r="H172" s="2"/>
      <ns0:c r="I172" s="2" t="s">
        <ns0:v>2576</ns0:v>
      </ns0:c>
      <ns0:c r="J172" s="2" t="s">
        <ns0:v>2577</ns0:v>
      </ns0:c>
      <ns0:c r="K172" s="2" t="s">
        <ns0:v>2578</ns0:v>
      </ns0:c>
      <ns0:c r="L172" s="2" t="s">
        <ns0:v>2035</ns0:v>
      </ns0:c>
      <ns0:c r="M172" s="5" t="s">
        <ns0:v>997</ns0:v>
      </ns0:c>
      <ns0:c r="N172" s="7" t="s">
        <ns0:v>998</ns0:v>
      </ns0:c>
      <ns0:c r="O172" s="7" t="s">
        <ns0:v>1000</ns0:v>
      </ns0:c>
      <ns0:c r="P172" s="7" t="s">
        <ns0:v>2036</ns0:v>
      </ns0:c>
      <ns0:c r="Q172" s="7" t="s">
        <ns0:v>2376</ns0:v>
      </ns0:c>
      <ns0:c r="R172" s="7" t="s">
        <ns0:v>1963</ns0:v>
      </ns0:c>
      <ns0:c r="S172" s="70" t="str">
        <ns0:v>救済×護衛×相互強化×身を守りたい解呪者×恩を感じ忠誠を誓う少女</ns0:v>
      </ns0:c>
      <ns0:c r="T172" s="69" t="str">
        <ns0:v>命を守るため護衛を買い、呪いを解く。細かな性格未確認。</ns0:v>
      </ns0:c>
      <ns0:c r="U172" s="69" t="str">
        <ns0:v>少女は恩義から忠誠を誓い、支援魔法で主人公を強くする。</ns0:v>
      </ns0:c>
      <ns0:c r="V172" s="69" t="str">
        <ns0:v>相手の力を解放したことが、自分を守る力として返り、救う側と守る側が循環する。</ns0:v>
      </ns0:c>
      <ns0:c r="W172" s="69" t="str">
        <ns0:v>頼られ守られる相互性と独自技能の価値。</ns0:v>
      </ns0:c>
      <ns0:c r="X172" s="69" t="str">
        <ns0:v>二人で命を狙う勢力に対抗すると予告。</ns0:v>
      </ns0:c>
      <ns0:c r="Y172" s="71" t="str">
        <ns0:v>微ヤンデレはタグ。少女の独占行動の詳細は未確認。</ns0:v>
      </ns0:c>
    </ns0:row>
    <ns0:row r="173" ht="64.05000305175781" customHeight="1">
      <ns0:c r="A173" s="2" t="s">
        <ns0:v>608</ns0:v>
      </ns0:c>
      <ns0:c r="B173" s="4">
        <ns0:v>68</ns0:v>
      </ns0:c>
      <ns0:c r="C173" s="2" t="s">
        <ns0:v>1001</ns0:v>
      </ns0:c>
      <ns0:c r="D173" s="6" t="s">
        <ns0:v>2039</ns0:v>
      </ns0:c>
      <ns0:c r="E173" s="6" t="s">
        <ns0:v>2082</ns0:v>
      </ns0:c>
      <ns0:c r="F173" s="6"/>
      <ns0:c r="G173" s="2" t="s">
        <ns0:v>2040</ns0:v>
      </ns0:c>
      <ns0:c r="H173" s="2"/>
      <ns0:c r="I173" s="2" t="s">
        <ns0:v>2579</ns0:v>
      </ns0:c>
      <ns0:c r="J173" s="2" t="s">
        <ns0:v>2580</ns0:v>
      </ns0:c>
      <ns0:c r="K173" s="2" t="s">
        <ns0:v>2581</ns0:v>
      </ns0:c>
      <ns0:c r="L173" s="2" t="s">
        <ns0:v>2582</ns0:v>
      </ns0:c>
      <ns0:c r="M173" s="5" t="s">
        <ns0:v>1003</ns0:v>
      </ns0:c>
      <ns0:c r="N173" s="7" t="s">
        <ns0:v>1004</ns0:v>
      </ns0:c>
      <ns0:c r="O173" s="7" t="s">
        <ns0:v>1006</ns0:v>
      </ns0:c>
      <ns0:c r="P173" s="7" t="s">
        <ns0:v>2036</ns0:v>
      </ns0:c>
      <ns0:c r="Q173" s="7" t="s">
        <ns0:v>2376</ns0:v>
      </ns0:c>
      <ns0:c r="R173" s="7" t="s">
        <ns0:v>1948</ns0:v>
      </ns0:c>
      <ns0:c r="S173" s="73" t="str">
        <ns0:v>領地経営×料理×戦闘転用・食事強化×追放された悪役転生者×性格未確認</ns0:v>
      </ns0:c>
      <ns0:c r="T173" s="72" t="str">
        <ns0:v>料理人・追放者という情報のみ。性格未確認。</ns0:v>
      </ns0:c>
      <ns0:c r="U173" s="72" t="str">
        <ns0:v>主要な相手役の性格は未確認。</ns0:v>
      </ns0:c>
      <ns0:c r="V173" s="72" t="str">
        <ns0:v>料理を食事支援だけでなく攻撃にも用い、村の発展へつなぐ構図まで判定できる。</ns0:v>
      </ns0:c>
      <ns0:c r="W173" s="72" t="str">
        <ns0:v>低評価職の多用途化と村の成長。</ns0:v>
      </ns0:c>
      <ns0:c r="X173" s="72" t="str">
        <ns0:v>貧困村から大都市へは題名。具体的な過程は未確認。</ns0:v>
      </ns0:c>
      <ns0:c r="Y173" s="74" t="str">
        <ns0:v>あらすじ欄は投稿案内のみ。題名・キャッチからの限定判定。</ns0:v>
      </ns0:c>
    </ns0:row>
    <ns0:row r="174" ht="64.05000305175781" customHeight="1">
      <ns0:c r="A174" s="2" t="s">
        <ns0:v>608</ns0:v>
      </ns0:c>
      <ns0:c r="B174" s="4">
        <ns0:v>69</ns0:v>
      </ns0:c>
      <ns0:c r="C174" s="2" t="s">
        <ns0:v>1007</ns0:v>
      </ns0:c>
      <ns0:c r="D174" s="6" t="s">
        <ns0:v>2058</ns0:v>
      </ns0:c>
      <ns0:c r="E174" s="6" t="s">
        <ns0:v>2465</ns0:v>
      </ns0:c>
      <ns0:c r="F174" s="6" t="s">
        <ns0:v>2102</ns0:v>
      </ns0:c>
      <ns0:c r="G174" s="9" t="s">
        <ns0:v>2059</ns0:v>
      </ns0:c>
      <ns0:c r="H174" s="9" t="s">
        <ns0:v>2583</ns0:v>
      </ns0:c>
      <ns0:c r="I174" s="2" t="s">
        <ns0:v>2584</ns0:v>
      </ns0:c>
      <ns0:c r="J174" s="2" t="s">
        <ns0:v>2585</ns0:v>
      </ns0:c>
      <ns0:c r="K174" s="2" t="s">
        <ns0:v>2586</ns0:v>
      </ns0:c>
      <ns0:c r="L174" s="2" t="s">
        <ns0:v>2035</ns0:v>
      </ns0:c>
      <ns0:c r="M174" s="5" t="s">
        <ns0:v>1009</ns0:v>
      </ns0:c>
      <ns0:c r="N174" s="7" t="s">
        <ns0:v>1010</ns0:v>
      </ns0:c>
      <ns0:c r="O174" s="7" t="s">
        <ns0:v>1012</ns0:v>
      </ns0:c>
      <ns0:c r="P174" s="7" t="s">
        <ns0:v>2036</ns0:v>
      </ns0:c>
      <ns0:c r="Q174" s="7" t="s">
        <ns0:v>2376</ns0:v>
      </ns0:c>
      <ns0:c r="R174" s="7" t="s">
        <ns0:v>1932</ns0:v>
      </ns0:c>
      <ns0:c r="S174" s="70" t="str">
        <ns0:v>救済×主従×運命改変×双子を共に守りたい従者×愛されたい姉×姉妹を対立させる扱い</ns0:v>
      </ns0:c>
      <ns0:c r="T174" s="69" t="str">
        <ns0:v>姉と妹の両方のために動く。訳ありの内容は未確認。</ns0:v>
      </ns0:c>
      <ns0:c r="U174" s="69" t="str">
        <ns0:v>姉は愛されようと努力し絶望する運命。改変後は姉妹が仲良くなる。</ns0:v>
      </ns0:c>
      <ns0:c r="V174" s="69" t="str">
        <ns0:v>世界が片方だけを選ぶ構造に対し、二人とも大切にする関係が対立の運命を変える。</ns0:v>
      </ns0:c>
      <ns0:c r="W174" s="69" t="str">
        <ns0:v>選ばれなかった側への承認と姉妹の両立。</ns0:v>
      </ns0:c>
      <ns0:c r="X174" s="69" t="str">
        <ns0:v>姉妹・勇者・幼女へ関係の変化が波及。</ns0:v>
      </ns0:c>
      <ns0:c r="Y174" s="71" t="str">
        <ns0:v>タイムリープは疑問形タグ。従者が未来既知とは断定しない。</ns0:v>
      </ns0:c>
    </ns0:row>
    <ns0:row r="175" ht="64.05000305175781" customHeight="1">
      <ns0:c r="A175" s="2" t="s">
        <ns0:v>608</ns0:v>
      </ns0:c>
      <ns0:c r="B175" s="4">
        <ns0:v>70</ns0:v>
      </ns0:c>
      <ns0:c r="C175" s="2" t="s">
        <ns0:v>1013</ns0:v>
      </ns0:c>
      <ns0:c r="D175" s="6" t="s">
        <ns0:v>2030</ns0:v>
      </ns0:c>
      <ns0:c r="E175" s="6"/>
      <ns0:c r="F175" s="6"/>
      <ns0:c r="G175" s="2" t="s">
        <ns0:v>2040</ns0:v>
      </ns0:c>
      <ns0:c r="H175" s="2"/>
      <ns0:c r="I175" s="2" t="s">
        <ns0:v>2587</ns0:v>
      </ns0:c>
      <ns0:c r="J175" s="2" t="s">
        <ns0:v>2588</ns0:v>
      </ns0:c>
      <ns0:c r="K175" s="2" t="s">
        <ns0:v>2589</ns0:v>
      </ns0:c>
      <ns0:c r="L175" s="2" t="s">
        <ns0:v>2590</ns0:v>
      </ns0:c>
      <ns0:c r="M175" s="5" t="s">
        <ns0:v>1014</ns0:v>
      </ns0:c>
      <ns0:c r="N175" s="7" t="s">
        <ns0:v>1015</ns0:v>
      </ns0:c>
      <ns0:c r="O175" s="7" t="s">
        <ns0:v>1017</ns0:v>
      </ns0:c>
      <ns0:c r="P175" s="7" t="s">
        <ns0:v>2036</ns0:v>
      </ns0:c>
      <ns0:c r="Q175" s="7" t="s">
        <ns0:v>2376</ns0:v>
      </ns0:c>
      <ns0:c r="R175" s="7" t="s">
        <ns0:v>1917</ns0:v>
      </ns0:c>
      <ns0:c r="S175" s="73" t="str">
        <ns0:v>学園での才能実証×師の遺産×群像×突出した弟子×才能に翻弄される天才たち</ns0:v>
      </ns0:c>
      <ns0:c r="T175" s="72" t="str">
        <ns0:v>辺境出身の弟子。性格は未確認。</ns0:v>
      </ns0:c>
      <ns0:c r="U175" s="72" t="str">
        <ns0:v>師は生涯弟子を取らなかったと知られる。天才たちの個別性格は未確認。</ns0:v>
      </ns0:c>
      <ns0:c r="V175" s="72" t="str">
        <ns0:v>ただ称賛されるだけでなく、才能が周囲の進路と本人の宿命を変えるものとして提示される。</ns0:v>
      </ns0:c>
      <ns0:c r="W175" s="72" t="str">
        <ns0:v>突出した力への驚きと他者に与える影響への関心。</ns0:v>
      </ns0:c>
      <ns0:c r="X175" s="72" t="str">
        <ns0:v>魔法史と複数人物の運命へ波及すると予告。</ns0:v>
      </ns0:c>
      <ns0:c r="Y175" s="74" t="str">
        <ns0:v>呪いか祝福かは作品の問い。嫉妬など個別反応は未確認。</ns0:v>
      </ns0:c>
    </ns0:row>
    <ns0:row r="176" ht="64.05000305175781" customHeight="1">
      <ns0:c r="A176" s="2" t="s">
        <ns0:v>608</ns0:v>
      </ns0:c>
      <ns0:c r="B176" s="4">
        <ns0:v>71</ns0:v>
      </ns0:c>
      <ns0:c r="C176" s="2" t="s">
        <ns0:v>1018</ns0:v>
      </ns0:c>
      <ns0:c r="D176" s="6" t="s">
        <ns0:v>2030</ns0:v>
      </ns0:c>
      <ns0:c r="E176" s="6"/>
      <ns0:c r="F176" s="6"/>
      <ns0:c r="G176" s="2" t="s">
        <ns0:v>2040</ns0:v>
      </ns0:c>
      <ns0:c r="H176" s="2"/>
      <ns0:c r="I176" s="2" t="s">
        <ns0:v>2591</ns0:v>
      </ns0:c>
      <ns0:c r="J176" s="2" t="s">
        <ns0:v>2592</ns0:v>
      </ns0:c>
      <ns0:c r="K176" s="2" t="s">
        <ns0:v>2593</ns0:v>
      </ns0:c>
      <ns0:c r="L176" s="2" t="s">
        <ns0:v>2277</ns0:v>
      </ns0:c>
      <ns0:c r="M176" s="5" t="s">
        <ns0:v>1020</ns0:v>
      </ns0:c>
      <ns0:c r="N176" s="7" t="s">
        <ns0:v>1021</ns0:v>
      </ns0:c>
      <ns0:c r="O176" s="7" t="s">
        <ns0:v>1023</ns0:v>
      </ns0:c>
      <ns0:c r="P176" s="7" t="s">
        <ns0:v>2036</ns0:v>
      </ns0:c>
      <ns0:c r="Q176" s="7" t="s">
        <ns0:v>2376</ns0:v>
      </ns0:c>
      <ns0:c r="R176" s="7" t="s">
        <ns0:v>1910</ns0:v>
      </ns0:c>
      <ns0:c r="S176" s="70" t="str">
        <ns0:v>成長×ゲーム職能攻略×最弱の生産職×自由を求めた廃ゲーマー×既知の進化先</ns0:v>
      </ns0:c>
      <ns0:c r="T176" s="69" t="str">
        <ns0:v>過酷な労働の癒しを自由なゲームに求めていた。</ns0:v>
      </ns0:c>
      <ns0:c r="U176" s="69" t="str">
        <ns0:v>主要な相手役の性格は未確認。</ns0:v>
      </ns0:c>
      <ns0:c r="V176" s="69" t="str">
        <ns0:v>選べない最弱職からでも、長く遊んだ知識が将来の可能性を示す。</ns0:v>
      </ns0:c>
      <ns0:c r="W176" s="69" t="str">
        <ns0:v>最弱の見かけを越える見通しと自由の獲得。</ns0:v>
      </ns0:c>
      <ns0:c r="X176" s="69" t="str">
        <ns0:v>進化ルート選択は題名・キャッチ。具体的な変奏は未確認。</ns0:v>
      </ns0:c>
      <ns0:c r="Y176" s="71" t="str">
        <ns0:v>農業中心か攻略中心かの比重や性格の細部は紹介文だけでは限定的。</ns0:v>
      </ns0:c>
    </ns0:row>
    <ns0:row r="177" ht="64.05000305175781" customHeight="1">
      <ns0:c r="A177" s="2" t="s">
        <ns0:v>608</ns0:v>
      </ns0:c>
      <ns0:c r="B177" s="4">
        <ns0:v>72</ns0:v>
      </ns0:c>
      <ns0:c r="C177" s="2" t="s">
        <ns0:v>1024</ns0:v>
      </ns0:c>
      <ns0:c r="D177" s="6" t="s">
        <ns0:v>2118</ns0:v>
      </ns0:c>
      <ns0:c r="E177" s="6" t="s">
        <ns0:v>2039</ns0:v>
      </ns0:c>
      <ns0:c r="F177" s="6" t="s">
        <ns0:v>2138</ns0:v>
      </ns0:c>
      <ns0:c r="G177" s="2" t="s">
        <ns0:v>2040</ns0:v>
      </ns0:c>
      <ns0:c r="H177" s="2"/>
      <ns0:c r="I177" s="2" t="s">
        <ns0:v>2594</ns0:v>
      </ns0:c>
      <ns0:c r="J177" s="2" t="s">
        <ns0:v>2595</ns0:v>
      </ns0:c>
      <ns0:c r="K177" s="2" t="s">
        <ns0:v>2596</ns0:v>
      </ns0:c>
      <ns0:c r="L177" s="2" t="s">
        <ns0:v>2035</ns0:v>
      </ns0:c>
      <ns0:c r="M177" s="5" t="s">
        <ns0:v>1026</ns0:v>
      </ns0:c>
      <ns0:c r="N177" s="7" t="s">
        <ns0:v>1027</ns0:v>
      </ns0:c>
      <ns0:c r="O177" s="7" t="s">
        <ns0:v>1029</ns0:v>
      </ns0:c>
      <ns0:c r="P177" s="7" t="s">
        <ns0:v>2036</ns0:v>
      </ns0:c>
      <ns0:c r="Q177" s="7" t="s">
        <ns0:v>2376</ns0:v>
      </ns0:c>
      <ns0:c r="R177" s="7" t="s">
        <ns0:v>1939</ns0:v>
      </ns0:c>
      <ns0:c r="S177" s="73" t="str">
        <ns0:v>修復×村づくり×専門技能×直せるものは直す職人×仕事を認める忘れられた神</ns0:v>
      </ns0:c>
      <ns0:c r="T177" s="72" t="str">
        <ns0:v>評価より目の前の修理を優先する信条を持つ。</ns0:v>
      </ns0:c>
      <ns0:c r="U177" s="72" t="str">
        <ns0:v>工匠神は修理の仕事を高く評価する。細かな性格未確認。</ns0:v>
      </ns0:c>
      <ns0:c r="V177" s="72" t="str">
        <ns0:v>才なしという評価に対して、神そのものを直す仕事が技術の価値を証明する。</ns0:v>
      </ns0:c>
      <ns0:c r="W177" s="72" t="str">
        <ns0:v>手仕事の承認と一つずつ暮らしを回復する満足。</ns0:v>
      </ns0:c>
      <ns0:c r="X177" s="72" t="str">
        <ns0:v>物・家・生き物から辺境の秘密へ対象が広がる。</ns0:v>
      </ns0:c>
      <ns0:c r="Y177" s="74" t="str">
        <ns0:v>信条と神の評価は紹介文で確認。</ns0:v>
      </ns0:c>
    </ns0:row>
    <ns0:row r="178" ht="64.05000305175781" customHeight="1">
      <ns0:c r="A178" s="2" t="s">
        <ns0:v>608</ns0:v>
      </ns0:c>
      <ns0:c r="B178" s="4">
        <ns0:v>73</ns0:v>
      </ns0:c>
      <ns0:c r="C178" s="2" t="s">
        <ns0:v>1030</ns0:v>
      </ns0:c>
      <ns0:c r="D178" s="6" t="s">
        <ns0:v>2082</ns0:v>
      </ns0:c>
      <ns0:c r="E178" s="6" t="s">
        <ns0:v>2102</ns0:v>
      </ns0:c>
      <ns0:c r="F178" s="6" t="s">
        <ns0:v>2030</ns0:v>
      </ns0:c>
      <ns0:c r="G178" s="2" t="s">
        <ns0:v>2040</ns0:v>
      </ns0:c>
      <ns0:c r="H178" s="2"/>
      <ns0:c r="I178" s="2" t="s">
        <ns0:v>2597</ns0:v>
      </ns0:c>
      <ns0:c r="J178" s="2" t="s">
        <ns0:v>2598</ns0:v>
      </ns0:c>
      <ns0:c r="K178" s="2" t="s">
        <ns0:v>2599</ns0:v>
      </ns0:c>
      <ns0:c r="L178" s="2" t="s">
        <ns0:v>2035</ns0:v>
      </ns0:c>
      <ns0:c r="M178" s="5" t="s">
        <ns0:v>1031</ns0:v>
      </ns0:c>
      <ns0:c r="N178" s="7" t="s">
        <ns0:v>1032</ns0:v>
      </ns0:c>
      <ns0:c r="O178" s="7" t="s">
        <ns0:v>1034</ns0:v>
      </ns0:c>
      <ns0:c r="P178" s="7" t="s">
        <ns0:v>2036</ns0:v>
      </ns0:c>
      <ns0:c r="Q178" s="7" t="s">
        <ns0:v>2376</ns0:v>
      </ns0:c>
      <ns0:c r="R178" s="7" t="s">
        <ns0:v>1952</ns0:v>
      </ns0:c>
      <ns0:c r="S178" s="70" t="str">
        <ns0:v>料理×職場再評価×個別対応×叱られると思う新人×取り合う王女三姉妹×いじめる先輩</ns0:v>
      </ns0:c>
      <ns0:c r="T178" s="69" t="str">
        <ns0:v>料理には自信があるが、いじめで折れかけている。</ns0:v>
      </ns0:c>
      <ns0:c r="U178" s="69" t="str">
        <ns0:v>先輩は出自でいじめる。王女たちは料理と境遇を知り専属を望む。</ns0:v>
      </ns0:c>
      <ns0:c r="V178" s="69" t="str">
        <ns0:v>一人で課された無理な仕事が、三人に合わせた気遣いと技能を直接見せる機会になる。</ns0:v>
      </ns0:c>
      <ns0:c r="W178" s="69" t="str">
        <ns0:v>丁寧な仕事の承認と必要とされる特別感。</ns0:v>
      </ns0:c>
      <ns0:c r="X178" s="69" t="str">
        <ns0:v>専属料理人の争奪へ発展。三姉妹それぞれの性格は未確認。</ns0:v>
      </ns0:c>
      <ns0:c r="Y178" s="71" t="str">
        <ns0:v>好み・体調に応じた料理が根拠。単なる美味しいだけと区別。</ns0:v>
      </ns0:c>
    </ns0:row>
    <ns0:row r="179" ht="64.05000305175781" customHeight="1">
      <ns0:c r="A179" s="2" t="s">
        <ns0:v>608</ns0:v>
      </ns0:c>
      <ns0:c r="B179" s="4">
        <ns0:v>74</ns0:v>
      </ns0:c>
      <ns0:c r="C179" s="2" t="s">
        <ns0:v>1035</ns0:v>
      </ns0:c>
      <ns0:c r="D179" s="6" t="s">
        <ns0:v>2030</ns0:v>
      </ns0:c>
      <ns0:c r="E179" s="6" t="s">
        <ns0:v>2054</ns0:v>
      </ns0:c>
      <ns0:c r="F179" s="6" t="s">
        <ns0:v>2102</ns0:v>
      </ns0:c>
      <ns0:c r="G179" s="2" t="s">
        <ns0:v>2040</ns0:v>
      </ns0:c>
      <ns0:c r="H179" s="2"/>
      <ns0:c r="I179" s="2" t="s">
        <ns0:v>2600</ns0:v>
      </ns0:c>
      <ns0:c r="J179" s="2" t="s">
        <ns0:v>2601</ns0:v>
      </ns0:c>
      <ns0:c r="K179" s="2" t="s">
        <ns0:v>2602</ns0:v>
      </ns0:c>
      <ns0:c r="L179" s="2" t="s">
        <ns0:v>2035</ns0:v>
      </ns0:c>
      <ns0:c r="M179" s="5" t="s">
        <ns0:v>1037</ns0:v>
      </ns0:c>
      <ns0:c r="N179" s="7" t="s">
        <ns0:v>1038</ns0:v>
      </ns0:c>
      <ns0:c r="O179" s="7" t="s">
        <ns0:v>1040</ns0:v>
      </ns0:c>
      <ns0:c r="P179" s="7" t="s">
        <ns0:v>2036</ns0:v>
      </ns0:c>
      <ns0:c r="Q179" s="7" t="s">
        <ns0:v>2376</ns0:v>
      </ns0:c>
      <ns0:c r="R179" s="7" t="s">
        <ns0:v>1972</ns0:v>
      </ns0:c>
      <ns0:c r="S179" s="73" t="str">
        <ns0:v>探索×皇位争い×関係形成×責任を避けたい主人公×穏当な雇用扱いを受ける従者</ns0:v>
      </ns0:c>
      <ns0:c r="T179" s="72" t="str">
        <ns0:v>皇帝になりたくなく、反乱を避ける穏当な関係を望む。</ns0:v>
      </ns0:c>
      <ns0:c r="U179" s="72" t="str">
        <ns0:v>奴隷たちは周囲を囲むと紹介。個別の性格は未確認。</ns0:v>
      </ns0:c>
      <ns0:c r="V179" s="72" t="str">
        <ns0:v>距離を保って争いから降りるための扱いが、支持と人材を集め地位を近づける。</ns0:v>
      </ns0:c>
      <ns0:c r="W179" s="72" t="str">
        <ns0:v>本人の回避と周囲の期待のずれ、慕われる満足。</ns0:v>
      </ns0:c>
      <ns0:c r="X179" s="72" t="str">
        <ns0:v>探索の功績と人間関係が皇位へつながる。</ns0:v>
      </ns0:c>
      <ns0:c r="Y179" s="74" t="str">
        <ns0:v>クソボケはタグ。恋愛への具体的な鈍さは紹介文では未詳。</ns0:v>
      </ns0:c>
    </ns0:row>
    <ns0:row r="180" ht="67.95" customHeight="1">
      <ns0:c r="A180" s="2" t="s">
        <ns0:v>608</ns0:v>
      </ns0:c>
      <ns0:c r="B180" s="4">
        <ns0:v>75</ns0:v>
      </ns0:c>
      <ns0:c r="C180" s="2" t="s">
        <ns0:v>1041</ns0:v>
      </ns0:c>
      <ns0:c r="D180" s="6" t="s">
        <ns0:v>2073</ns0:v>
      </ns0:c>
      <ns0:c r="E180" s="6" t="s">
        <ns0:v>2050</ns0:v>
      </ns0:c>
      <ns0:c r="F180" s="6" t="s">
        <ns0:v>2038</ns0:v>
      </ns0:c>
      <ns0:c r="G180" s="2" t="s">
        <ns0:v>2040</ns0:v>
      </ns0:c>
      <ns0:c r="H180" s="2"/>
      <ns0:c r="I180" s="2" t="s">
        <ns0:v>2603</ns0:v>
      </ns0:c>
      <ns0:c r="J180" s="2" t="s">
        <ns0:v>2604</ns0:v>
      </ns0:c>
      <ns0:c r="K180" s="2" t="s">
        <ns0:v>2605</ns0:v>
      </ns0:c>
      <ns0:c r="L180" s="2" t="s">
        <ns0:v>2035</ns0:v>
      </ns0:c>
      <ns0:c r="M180" s="5" t="s">
        <ns0:v>1043</ns0:v>
      </ns0:c>
      <ns0:c r="N180" s="7" t="s">
        <ns0:v>1044</ns0:v>
      </ns0:c>
      <ns0:c r="O180" s="7" t="s">
        <ns0:v>1046</ns0:v>
      </ns0:c>
      <ns0:c r="P180" s="7" t="s">
        <ns0:v>2036</ns0:v>
      </ns0:c>
      <ns0:c r="Q180" s="7" t="s">
        <ns0:v>2376</ns0:v>
      </ns0:c>
      <ns0:c r="R180" s="7" t="s">
        <ns0:v>1984</ns0:v>
      </ns0:c>
      <ns0:c r="S180" s="70" t="str">
        <ns0:v>救助×裏切り後の再出発×奈落で得た強さ×信じてくれた相手にだけ報いる主人公×慰めた元恋人の妹</ns0:v>
      </ns0:c>
      <ns0:c r="T180" s="69" t="str">
        <ns0:v>仲間を庇う責任感があり、裏切り後も信じた相手は助ける。</ns0:v>
      </ns0:c>
      <ns0:c r="U180" s="69" t="str">
        <ns0:v>元恋人らは責任を転嫁。妹だけが信じ慰める。</ns0:v>
      </ns0:c>
      <ns0:c r="V180" s="69" t="str">
        <ns0:v>支援を撤回する爽快さを保ちつつ、例外として救う相手との信頼を際立たせる。</ns0:v>
      </ns0:c>
      <ns0:c r="W180" s="69" t="str">
        <ns0:v>裏切りへの決別と恩に報いる頼もしさ。</ns0:v>
      </ns0:c>
      <ns0:c r="X180" s="69" t="str">
        <ns0:v>妹の危機で救助へ戻ると明記。以後の変奏は未確認。</ns0:v>
      </ns0:c>
      <ns0:c r="Y180" s="71" t="str">
        <ns0:v>相手による態度の違いは紹介文に明記。</ns0:v>
      </ns0:c>
    </ns0:row>
    <ns0:row r="181" ht="64.05000305175781" customHeight="1">
      <ns0:c r="A181" s="2" t="s">
        <ns0:v>608</ns0:v>
      </ns0:c>
      <ns0:c r="B181" s="4">
        <ns0:v>76</ns0:v>
      </ns0:c>
      <ns0:c r="C181" s="2" t="s">
        <ns0:v>1047</ns0:v>
      </ns0:c>
      <ns0:c r="D181" s="6" t="s">
        <ns0:v>2038</ns0:v>
      </ns0:c>
      <ns0:c r="E181" s="6"/>
      <ns0:c r="F181" s="6"/>
      <ns0:c r="G181" s="2" t="s">
        <ns0:v>2040</ns0:v>
      </ns0:c>
      <ns0:c r="H181" s="2"/>
      <ns0:c r="I181" s="2" t="s">
        <ns0:v>2606</ns0:v>
      </ns0:c>
      <ns0:c r="J181" s="2" t="s">
        <ns0:v>2607</ns0:v>
      </ns0:c>
      <ns0:c r="K181" s="2" t="s">
        <ns0:v>2608</ns0:v>
      </ns0:c>
      <ns0:c r="L181" s="2" t="s">
        <ns0:v>2582</ns0:v>
      </ns0:c>
      <ns0:c r="M181" s="5" t="s">
        <ns0:v>1049</ns0:v>
      </ns0:c>
      <ns0:c r="N181" s="7" t="s">
        <ns0:v>1050</ns0:v>
      </ns0:c>
      <ns0:c r="O181" s="7" t="s">
        <ns0:v>1051</ns0:v>
      </ns0:c>
      <ns0:c r="P181" s="7" t="s">
        <ns0:v>2036</ns0:v>
      </ns0:c>
      <ns0:c r="Q181" s="7" t="s">
        <ns0:v>2376</ns0:v>
      </ns0:c>
      <ns0:c r="R181" s="7" t="s">
        <ns0:v>1994</ns0:v>
      </ns0:c>
      <ns0:c r="S181" s="73" t="str">
        <ns0:v>生存×集団転移×善行のポイント化×日々ゴミ拾いをした主人公×強さより生存を選ぶ方針</ns0:v>
      </ns0:c>
      <ns0:c r="T181" s="72" t="str">
        <ns0:v>清掃を続け、生き残ることを優先する。性格の細部は未確認。</ns0:v>
      </ns0:c>
      <ns0:c r="U181" s="72" t="str">
        <ns0:v>クラスメイトの性格は未確認。</ns0:v>
      </ns0:c>
      <ns0:c r="V181" s="72" t="str">
        <ns0:v>目立たない善行の蓄積が、転移後に生存を選ぶための資源へ変わる。</ns0:v>
      </ns0:c>
      <ns0:c r="W181" s="72" t="str">
        <ns0:v>日々の行いが報われる満足と安全への自己投影。</ns0:v>
      </ns0:c>
      <ns0:c r="X181" s="72" t="str">
        <ns0:v>ポイントの消費先と反復の詳細は未確認。</ns0:v>
      </ns0:c>
      <ns0:c r="Y181" s="74" t="str">
        <ns0:v>あらすじ空欄。題名・キャッチのみで限定判定。</ns0:v>
      </ns0:c>
    </ns0:row>
    <ns0:row r="182" ht="82.05000305175781" customHeight="1">
      <ns0:c r="A182" s="2" t="s">
        <ns0:v>608</ns0:v>
      </ns0:c>
      <ns0:c r="B182" s="4">
        <ns0:v>77</ns0:v>
      </ns0:c>
      <ns0:c r="C182" s="2" t="s">
        <ns0:v>1052</ns0:v>
      </ns0:c>
      <ns0:c r="D182" s="6" t="s">
        <ns0:v>2028</ns0:v>
      </ns0:c>
      <ns0:c r="E182" s="6" t="s">
        <ns0:v>2109</ns0:v>
      </ns0:c>
      <ns0:c r="F182" s="6"/>
      <ns0:c r="G182" s="9" t="s">
        <ns0:v>2031</ns0:v>
      </ns0:c>
      <ns0:c r="H182" s="9" t="s">
        <ns0:v>2109</ns0:v>
      </ns0:c>
      <ns0:c r="I182" s="2" t="s">
        <ns0:v>2609</ns0:v>
      </ns0:c>
      <ns0:c r="J182" s="2" t="s">
        <ns0:v>2610</ns0:v>
      </ns0:c>
      <ns0:c r="K182" s="2" t="s">
        <ns0:v>2611</ns0:v>
      </ns0:c>
      <ns0:c r="L182" s="2" t="s">
        <ns0:v>2035</ns0:v>
      </ns0:c>
      <ns0:c r="M182" s="5" t="s">
        <ns0:v>1053</ns0:v>
      </ns0:c>
      <ns0:c r="N182" s="7" t="s">
        <ns0:v>1054</ns0:v>
      </ns0:c>
      <ns0:c r="O182" s="7" t="s">
        <ns0:v>1056</ns0:v>
      </ns0:c>
      <ns0:c r="P182" s="7" t="s">
        <ns0:v>2036</ns0:v>
      </ns0:c>
      <ns0:c r="Q182" s="7" t="s">
        <ns0:v>2376</ns0:v>
      </ns0:c>
      <ns0:c r="R182" s="7" t="s">
        <ns0:v>1993</ns0:v>
      </ns0:c>
      <ns0:c r="S182" s="70" t="str">
        <ns0:v>知識共有×技能再評価×独占の崩壊×淡々と死者を減らしたい解析者×利権を握る旧ギルド</ns0:v>
      </ns0:c>
      <ns0:c r="T182" s="69" t="str">
        <ns0:v>怒鳴らず去り、知っていれば死なずに済むと考える。</ns0:v>
      </ns0:c>
      <ns0:c r="U182" s="69" t="str">
        <ns0:v>旧ギルドは攻略情報を独占し高額請求。同行少女の性格未確認。</ns0:v>
      </ns0:c>
      <ns0:c r="V182" s="69" t="str">
        <ns0:v>本人が勝つだけでなく誰でも再現できる知識を配るため、業界の優位そのものが崩れる。</ns0:v>
      </ns0:c>
      <ns0:c r="W182" s="69" t="str">
        <ns0:v>専門知が人を助ける実感と情報格差の解消。</ns0:v>
      </ns0:c>
      <ns0:c r="X182" s="69" t="str">
        <ns0:v>攻略・技術・武器・魔法と公開対象が変わる。</ns0:v>
      </ns0:c>
      <ns0:c r="Y182" s="71" t="str">
        <ns0:v>再現可能な手順と本人の目的は紹介文に明記。</ns0:v>
      </ns0:c>
    </ns0:row>
    <ns0:row r="183" ht="64.05000305175781" customHeight="1">
      <ns0:c r="A183" s="2" t="s">
        <ns0:v>608</ns0:v>
      </ns0:c>
      <ns0:c r="B183" s="4">
        <ns0:v>78</ns0:v>
      </ns0:c>
      <ns0:c r="C183" s="2" t="s">
        <ns0:v>1057</ns0:v>
      </ns0:c>
      <ns0:c r="D183" s="6" t="s">
        <ns0:v>2028</ns0:v>
      </ns0:c>
      <ns0:c r="E183" s="6" t="s">
        <ns0:v>2151</ns0:v>
      </ns0:c>
      <ns0:c r="F183" s="6" t="s">
        <ns0:v>2102</ns0:v>
      </ns0:c>
      <ns0:c r="G183" s="2" t="s">
        <ns0:v>2040</ns0:v>
      </ns0:c>
      <ns0:c r="H183" s="2"/>
      <ns0:c r="I183" s="2" t="s">
        <ns0:v>2612</ns0:v>
      </ns0:c>
      <ns0:c r="J183" s="2" t="s">
        <ns0:v>2613</ns0:v>
      </ns0:c>
      <ns0:c r="K183" s="2" t="s">
        <ns0:v>2614</ns0:v>
      </ns0:c>
      <ns0:c r="L183" s="2" t="s">
        <ns0:v>2035</ns0:v>
      </ns0:c>
      <ns0:c r="M183" s="5" t="s">
        <ns0:v>1058</ns0:v>
      </ns0:c>
      <ns0:c r="N183" s="7" t="s">
        <ns0:v>1059</ns0:v>
      </ns0:c>
      <ns0:c r="O183" s="7" t="s">
        <ns0:v>1061</ns0:v>
      </ns0:c>
      <ns0:c r="P183" s="7" t="s">
        <ns0:v>2036</ns0:v>
      </ns0:c>
      <ns0:c r="Q183" s="7" t="s">
        <ns0:v>2376</ns0:v>
      </ns0:c>
      <ns0:c r="R183" s="7" t="s">
        <ns0:v>1990</ns0:v>
      </ns0:c>
      <ns0:c r="S183" s="73" t="str">
        <ns0:v>育成×恩返し×人外転生×庇護したい幼竜×健気さが独占へ育つヤンデレ少女</ns0:v>
      </ns0:c>
      <ns0:c r="T183" s="72" t="str">
        <ns0:v>救ってくれた少女に恩を返すため陰から教える。</ns0:v>
      </ns0:c>
      <ns0:c r="U183" s="72" t="str">
        <ns0:v>少女は命がけで守り、成長後は奪う者を国ごと排除すると言う。</ns0:v>
      </ns0:c>
      <ns0:c r="V183" s="72" t="str">
        <ns0:v>守れるように育てた相手が強くなり過ぎ、守る側の自分へ過剰な保護を向ける。</ns0:v>
      </ns0:c>
      <ns0:c r="W183" s="72" t="str">
        <ns0:v>役割逆転の可笑しさと強烈に求められる満足。</ns0:v>
      </ns0:c>
      <ns0:c r="X183" s="72" t="str">
        <ns0:v>数年の育成後に執着へ変化。以後の詳細は未確認。</ns0:v>
      </ns0:c>
      <ns0:c r="Y183" s="74" t="str">
        <ns0:v>ヤンデレは本人の行動と紹介文に明記。短編シリーズのタグあり。</ns0:v>
      </ns0:c>
    </ns0:row>
    <ns0:row r="184" ht="64.05000305175781" customHeight="1">
      <ns0:c r="A184" s="2" t="s">
        <ns0:v>608</ns0:v>
      </ns0:c>
      <ns0:c r="B184" s="4">
        <ns0:v>79</ns0:v>
      </ns0:c>
      <ns0:c r="C184" s="2" t="s">
        <ns0:v>1062</ns0:v>
      </ns0:c>
      <ns0:c r="D184" s="6" t="s">
        <ns0:v>2082</ns0:v>
      </ns0:c>
      <ns0:c r="E184" s="6" t="s">
        <ns0:v>2063</ns0:v>
      </ns0:c>
      <ns0:c r="F184" s="6"/>
      <ns0:c r="G184" s="2" t="s">
        <ns0:v>2040</ns0:v>
      </ns0:c>
      <ns0:c r="H184" s="2"/>
      <ns0:c r="I184" s="2" t="s">
        <ns0:v>2615</ns0:v>
      </ns0:c>
      <ns0:c r="J184" s="2" t="s">
        <ns0:v>2616</ns0:v>
      </ns0:c>
      <ns0:c r="K184" s="2" t="s">
        <ns0:v>2617</ns0:v>
      </ns0:c>
      <ns0:c r="L184" s="2" t="s">
        <ns0:v>2035</ns0:v>
      </ns0:c>
      <ns0:c r="M184" s="5" t="s">
        <ns0:v>1064</ns0:v>
      </ns0:c>
      <ns0:c r="N184" s="7" t="s">
        <ns0:v>1065</ns0:v>
      </ns0:c>
      <ns0:c r="O184" s="7" t="s">
        <ns0:v>1067</ns0:v>
      </ns0:c>
      <ns0:c r="P184" s="7" t="s">
        <ns0:v>2036</ns0:v>
      </ns0:c>
      <ns0:c r="Q184" s="7" t="s">
        <ns0:v>2376</ns0:v>
      </ns0:c>
      <ns0:c r="R184" s="7" t="s">
        <ns0:v>1916</ns0:v>
      </ns0:c>
      <ns0:c r="S184" s="70" t="str">
        <ns0:v>屋台の仕事×引退後の交流×超一流の剣技×厳格で優しく公平な老騎士×惜しむ弟子たち</ns0:v>
      </ns0:c>
      <ns0:c r="T184" s="69" t="str">
        <ns0:v>自己犠牲で改革を訴え、厳格さ・優しさ・公平さを持つ。</ns0:v>
      </ns0:c>
      <ns0:c r="U184" s="69" t="str">
        <ns0:v>弟子たちは尊敬し引退を惜しむ。客の個別性格は未確認。</ns0:v>
      </ns0:c>
      <ns0:c r="V184" s="69" t="str">
        <ns0:v>大きな組織で人を支えた人物が、小さな店で一人ひとりの人生に触れる。</ns0:v>
      </ns0:c>
      <ns0:c r="W184" s="69" t="str">
        <ns0:v>成熟した人への信頼と第二の夢を叶える温かさ。</ns0:v>
      </ns0:c>
      <ns0:c r="X184" s="69" t="str">
        <ns0:v>客の人生との出会いが継続軸。大事件中心ではないと明記。</ns0:v>
      </ns0:c>
      <ns0:c r="Y184" s="71" t="str">
        <ns0:v>人格は紹介文に明記。低い出世と尊敬が両立している。</ns0:v>
      </ns0:c>
    </ns0:row>
    <ns0:row r="185" ht="64.05000305175781" customHeight="1">
      <ns0:c r="A185" s="2" t="s">
        <ns0:v>608</ns0:v>
      </ns0:c>
      <ns0:c r="B185" s="4">
        <ns0:v>80</ns0:v>
      </ns0:c>
      <ns0:c r="C185" s="2" t="s">
        <ns0:v>1068</ns0:v>
      </ns0:c>
      <ns0:c r="D185" s="6" t="s">
        <ns0:v>2063</ns0:v>
      </ns0:c>
      <ns0:c r="E185" s="6"/>
      <ns0:c r="F185" s="6"/>
      <ns0:c r="G185" s="2" t="s">
        <ns0:v>2040</ns0:v>
      </ns0:c>
      <ns0:c r="H185" s="2"/>
      <ns0:c r="I185" s="2" t="s">
        <ns0:v>2618</ns0:v>
      </ns0:c>
      <ns0:c r="J185" s="2" t="s">
        <ns0:v>2619</ns0:v>
      </ns0:c>
      <ns0:c r="K185" s="2" t="s">
        <ns0:v>2620</ns0:v>
      </ns0:c>
      <ns0:c r="L185" s="2" t="s">
        <ns0:v>2277</ns0:v>
      </ns0:c>
      <ns0:c r="M185" s="5" t="s">
        <ns0:v>1070</ns0:v>
      </ns0:c>
      <ns0:c r="N185" s="7" t="s">
        <ns0:v>1071</ns0:v>
      </ns0:c>
      <ns0:c r="O185" s="7" t="s">
        <ns0:v>1073</ns0:v>
      </ns0:c>
      <ns0:c r="P185" s="7" t="s">
        <ns0:v>2036</ns0:v>
      </ns0:c>
      <ns0:c r="Q185" s="7" t="s">
        <ns0:v>2376</ns0:v>
      </ns0:c>
      <ns0:c r="R185" s="7" t="s">
        <ns0:v>2005</ns0:v>
      </ns0:c>
      <ns0:c r="S185" s="73" t="str">
        <ns0:v>人生再出発×傭兵の強さ×裏切り×気分屋で働く意欲を失った主人公×養われたい願望</ns0:v>
      </ns0:c>
      <ns0:c r="T185" s="72" t="str">
        <ns0:v>気分で依頼を選び、罠に遭ってやる気をなくす。</ns0:v>
      </ns0:c>
      <ns0:c r="U185" s="72" t="str">
        <ns0:v>国・ギルド・教会は主人公を脅威と見て排除。相手役性格未確認。</ns0:v>
      </ns0:c>
      <ns0:c r="V185" s="72" t="str">
        <ns0:v>復讐できそうな実力者が、仕返しより働かず暮らす方向へ欲求を向ける。</ns0:v>
      </ns0:c>
      <ns0:c r="W185" s="72" t="str">
        <ns0:v>責任と仕事からの解放、強者の脱力。</ns0:v>
      </ns0:c>
      <ns0:c r="X185" s="72" t="str">
        <ns0:v>二度目の人生の方針まで。ヒモ関係の具体像は未確認。</ns0:v>
      </ns0:c>
      <ns0:c r="Y185" s="74" t="str">
        <ns0:v>気分屋は明記。勇者の娘はタグのみで人物像不明。</ns0:v>
      </ns0:c>
    </ns0:row>
    <ns0:row r="186" ht="64.05000305175781" customHeight="1">
      <ns0:c r="A186" s="2" t="s">
        <ns0:v>608</ns0:v>
      </ns0:c>
      <ns0:c r="B186" s="4">
        <ns0:v>81</ns0:v>
      </ns0:c>
      <ns0:c r="C186" s="2" t="s">
        <ns0:v>1074</ns0:v>
      </ns0:c>
      <ns0:c r="D186" s="6" t="s">
        <ns0:v>2063</ns0:v>
      </ns0:c>
      <ns0:c r="E186" s="6" t="s">
        <ns0:v>2049</ns0:v>
      </ns0:c>
      <ns0:c r="F186" s="6" t="s">
        <ns0:v>2039</ns0:v>
      </ns0:c>
      <ns0:c r="G186" s="2" t="s">
        <ns0:v>2040</ns0:v>
      </ns0:c>
      <ns0:c r="H186" s="2"/>
      <ns0:c r="I186" s="2" t="s">
        <ns0:v>2621</ns0:v>
      </ns0:c>
      <ns0:c r="J186" s="2" t="s">
        <ns0:v>2622</ns0:v>
      </ns0:c>
      <ns0:c r="K186" s="2" t="s">
        <ns0:v>2623</ns0:v>
      </ns0:c>
      <ns0:c r="L186" s="2" t="s">
        <ns0:v>2035</ns0:v>
      </ns0:c>
      <ns0:c r="M186" s="5" t="s">
        <ns0:v>1076</ns0:v>
      </ns0:c>
      <ns0:c r="N186" s="7" t="s">
        <ns0:v>1077</ns0:v>
      </ns0:c>
      <ns0:c r="O186" s="7" t="s">
        <ns0:v>1079</ns0:v>
      </ns0:c>
      <ns0:c r="P186" s="7" t="s">
        <ns0:v>2036</ns0:v>
      </ns0:c>
      <ns0:c r="Q186" s="7" t="s">
        <ns0:v>2376</ns0:v>
      </ns0:c>
      <ns0:c r="R186" s="7" t="s">
        <ns0:v>1957</ns0:v>
      </ns0:c>
      <ns0:c r="S186" s="70" t="str">
        <ns0:v>生活づくり×開拓×万能な裏方技能×静かに隠居したい主人公×生活能力の低い最強の仲間たち</ns0:v>
      </ns0:c>
      <ns0:c r="T186" s="69" t="str">
        <ns0:v>富や名声より、独りでのんびり暮らしたい。</ns0:v>
      </ns0:c>
      <ns0:c r="U186" s="69" t="str">
        <ns0:v>元仲間は生活能力が破綻し、強者たちが居心地を求めて集まる。</ns0:v>
      </ns0:c>
      <ns0:c r="V186" s="69" t="str">
        <ns0:v>自分を快適にする支援技能が、戦闘では最強でも生活には弱い人たちを呼び寄せる。</ns0:v>
      </ns0:c>
      <ns0:c r="W186" s="69" t="str">
        <ns0:v>万能な生活力への承認と賑やかな共同生活。</ns0:v>
      </ns0:c>
      <ns0:c r="X186" s="69" t="str">
        <ns0:v>住人の増加が安全で快適な村を作る一方、本人は休みにくくなる。</ns0:v>
      </ns0:c>
      <ns0:c r="Y186" s="71" t="str">
        <ns0:v>生活能力の破綻は元仲間について明記。全来訪者に一括適用しない。</ns0:v>
      </ns0:c>
    </ns0:row>
    <ns0:row r="187" ht="82.05000305175781" customHeight="1">
      <ns0:c r="A187" s="2" t="s">
        <ns0:v>608</ns0:v>
      </ns0:c>
      <ns0:c r="B187" s="4">
        <ns0:v>82</ns0:v>
      </ns0:c>
      <ns0:c r="C187" s="2" t="s">
        <ns0:v>1080</ns0:v>
      </ns0:c>
      <ns0:c r="D187" s="6" t="s">
        <ns0:v>2044</ns0:v>
      </ns0:c>
      <ns0:c r="E187" s="6" t="s">
        <ns0:v>2321</ns0:v>
      </ns0:c>
      <ns0:c r="F187" s="6"/>
      <ns0:c r="G187" s="2" t="s">
        <ns0:v>2040</ns0:v>
      </ns0:c>
      <ns0:c r="H187" s="2"/>
      <ns0:c r="I187" s="2" t="s">
        <ns0:v>2624</ns0:v>
      </ns0:c>
      <ns0:c r="J187" s="2" t="s">
        <ns0:v>2625</ns0:v>
      </ns0:c>
      <ns0:c r="K187" s="2" t="s">
        <ns0:v>2626</ns0:v>
      </ns0:c>
      <ns0:c r="L187" s="2" t="s">
        <ns0:v>2035</ns0:v>
      </ns0:c>
      <ns0:c r="M187" s="5" t="s">
        <ns0:v>1082</ns0:v>
      </ns0:c>
      <ns0:c r="N187" s="7" t="s">
        <ns0:v>1083</ns0:v>
      </ns0:c>
      <ns0:c r="O187" s="7" t="s">
        <ns0:v>1085</ns0:v>
      </ns0:c>
      <ns0:c r="P187" s="7" t="s">
        <ns0:v>2036</ns0:v>
      </ns0:c>
      <ns0:c r="Q187" s="7" t="s">
        <ns0:v>2376</ns0:v>
      </ns0:c>
      <ns0:c r="R187" s="7" t="s">
        <ns0:v>1909</ns0:v>
      </ns0:c>
      <ns0:c r="S187" s="73" t="str">
        <ns0:v>世界救済×主役の譲渡×原作崩壊×英雄を望まない主人公×主役になりたい別の転生者</ns0:v>
      </ns0:c>
      <ns0:c r="T187" s="72" t="str">
        <ns0:v>英雄への自信も願望も薄く、危うい争いを避けて役を譲る。</ns0:v>
      </ns0:c>
      <ns0:c r="U187" s="72" t="str">
        <ns0:v>別の転生者は主役の座を望むが、世界を救えず敗れる。</ns0:v>
      </ns0:c>
      <ns0:c r="V187" s="72" t="str">
        <ns0:v>主役の座から降りる合理的な選択が世界を悪化させ、より厳しい責任として戻る。</ns0:v>
      </ns0:c>
      <ns0:c r="W187" s="72" t="str">
        <ns0:v>王道の前提への疑問と失敗後の立て直し。</ns0:v>
      </ns0:c>
      <ns0:c r="X187" s="72" t="str">
        <ns0:v>終末化した世界の救済へ移ると明記。</ns0:v>
      </ns0:c>
      <ns0:c r="Y187" s="74" t="str">
        <ns0:v>絆による強化への不適性感はキャッチ。冷酷さは補完しない。</ns0:v>
      </ns0:c>
    </ns0:row>
    <ns0:row r="188" ht="67.95" customHeight="1">
      <ns0:c r="A188" s="2" t="s">
        <ns0:v>608</ns0:v>
      </ns0:c>
      <ns0:c r="B188" s="4">
        <ns0:v>83</ns0:v>
      </ns0:c>
      <ns0:c r="C188" s="2" t="s">
        <ns0:v>1086</ns0:v>
      </ns0:c>
      <ns0:c r="D188" s="6" t="s">
        <ns0:v>2029</ns0:v>
      </ns0:c>
      <ns0:c r="E188" s="6" t="s">
        <ns0:v>2044</ns0:v>
      </ns0:c>
      <ns0:c r="F188" s="6" t="s">
        <ns0:v>2224</ns0:v>
      </ns0:c>
      <ns0:c r="G188" s="9" t="s">
        <ns0:v>2059</ns0:v>
      </ns0:c>
      <ns0:c r="H188" s="9" t="s">
        <ns0:v>2029</ns0:v>
      </ns0:c>
      <ns0:c r="I188" s="2" t="s">
        <ns0:v>2627</ns0:v>
      </ns0:c>
      <ns0:c r="J188" s="2" t="s">
        <ns0:v>2628</ns0:v>
      </ns0:c>
      <ns0:c r="K188" s="2" t="s">
        <ns0:v>2629</ns0:v>
      </ns0:c>
      <ns0:c r="L188" s="2" t="s">
        <ns0:v>2035</ns0:v>
      </ns0:c>
      <ns0:c r="M188" s="5" t="s">
        <ns0:v>1087</ns0:v>
      </ns0:c>
      <ns0:c r="N188" s="7" t="s">
        <ns0:v>1088</ns0:v>
      </ns0:c>
      <ns0:c r="O188" s="7" t="s">
        <ns0:v>1090</ns0:v>
      </ns0:c>
      <ns0:c r="P188" s="7" t="s">
        <ns0:v>2036</ns0:v>
      </ns0:c>
      <ns0:c r="Q188" s="7" t="s">
        <ns0:v>2376</ns0:v>
      </ns0:c>
      <ns0:c r="R188" s="7" t="s">
        <ns0:v>1953</ns0:v>
      </ns0:c>
      <ns0:c r="S188" s="70" t="str">
        <ns0:v>探索配信×帰還×二段階の性別変化×無自覚無双×男の生活に慣れた元女子×平穏な稼ぎの願望</ns0:v>
      </ns0:c>
      <ns0:c r="T188" s="69" t="str">
        <ns0:v>男勇者としての十年に慣れ、元の性別も忘れる。静かに稼ぎたい。</ns0:v>
      </ns0:c>
      <ns0:c r="U188" s="69" t="str">
        <ns0:v>家族は過去の写真で説明。その他の性格未確認。</ns0:v>
      </ns0:c>
      <ns0:c r="V188" s="69" t="str">
        <ns0:v>新たな変身だと思った姿が元の自分で、身体だけでなく強さの物差しも現在とずれている。</ns0:v>
      </ns0:c>
      <ns0:c r="W188" s="69" t="str">
        <ns0:v>本人の記憶・常識のずれの笑いと実力露見。</ns0:v>
      </ns0:c>
      <ns0:c r="X188" s="69" t="str">
        <ns0:v>人気の拡大に加え、倒した魔王の気配を予告。</ns0:v>
      </ns0:c>
      <ns0:c r="Y188" s="71" t="str">
        <ns0:v>登録棚は異世界ファンタジーだが、紹介の活動舞台は現代。登録分類を維持。</ns0:v>
      </ns0:c>
    </ns0:row>
    <ns0:row r="189" ht="64.05000305175781" customHeight="1">
      <ns0:c r="A189" s="2" t="s">
        <ns0:v>608</ns0:v>
      </ns0:c>
      <ns0:c r="B189" s="4">
        <ns0:v>84</ns0:v>
      </ns0:c>
      <ns0:c r="C189" s="2" t="s">
        <ns0:v>1091</ns0:v>
      </ns0:c>
      <ns0:c r="D189" s="6" t="s">
        <ns0:v>2054</ns0:v>
      </ns0:c>
      <ns0:c r="E189" s="6"/>
      <ns0:c r="F189" s="6"/>
      <ns0:c r="G189" s="2" t="s">
        <ns0:v>2040</ns0:v>
      </ns0:c>
      <ns0:c r="H189" s="2"/>
      <ns0:c r="I189" s="2" t="s">
        <ns0:v>2630</ns0:v>
      </ns0:c>
      <ns0:c r="J189" s="2" t="s">
        <ns0:v>2631</ns0:v>
      </ns0:c>
      <ns0:c r="K189" s="2" t="s">
        <ns0:v>2632</ns0:v>
      </ns0:c>
      <ns0:c r="L189" s="2" t="s">
        <ns0:v>2035</ns0:v>
      </ns0:c>
      <ns0:c r="M189" s="5" t="s">
        <ns0:v>1093</ns0:v>
      </ns0:c>
      <ns0:c r="N189" s="7" t="s">
        <ns0:v>1094</ns0:v>
      </ns0:c>
      <ns0:c r="O189" s="7" t="s">
        <ns0:v>1096</ns0:v>
      </ns0:c>
      <ns0:c r="P189" s="7" t="s">
        <ns0:v>2036</ns0:v>
      </ns0:c>
      <ns0:c r="Q189" s="7" t="s">
        <ns0:v>2376</ns0:v>
      </ns0:c>
      <ns0:c r="R189" s="7" t="s">
        <ns0:v>1999</ns0:v>
      </ns0:c>
      <ns0:c r="S189" s="73" t="str">
        <ns0:v>冒険再開×成功後の離脱×最強の実績×到達点より過程を楽しむ中年</ns0:v>
      </ns0:c>
      <ns0:c r="T189" s="72" t="str">
        <ns0:v>成り上がった結果に違和感を持ち、地位を離れる。</ns0:v>
      </ns0:c>
      <ns0:c r="U189" s="72" t="str">
        <ns0:v>王は軍を任せる。相手役の性格未確認。</ns0:v>
      </ns0:c>
      <ns0:c r="V189" s="72" t="str">
        <ns0:v>通常の成功目標を達成済みの人物が、それでは満たされず新しい過程を選び直す。</ns0:v>
      </ns0:c>
      <ns0:c r="W189" s="72" t="str">
        <ns0:v>地位から自由になる爽快さと熟練者の再冒険。</ns0:v>
      </ns0:c>
      <ns0:c r="X189" s="72" t="str">
        <ns0:v>新しい冒険を始めると明記。行き先の詳細は未確認。</ns0:v>
      </ns0:c>
      <ns0:c r="Y189" s="74" t="str">
        <ns0:v>過程への志向はキャッチ、成功からの離脱は紹介文。</ns0:v>
      </ns0:c>
    </ns0:row>
    <ns0:row r="190" ht="64.05000305175781" customHeight="1">
      <ns0:c r="A190" s="2" t="s">
        <ns0:v>608</ns0:v>
      </ns0:c>
      <ns0:c r="B190" s="4">
        <ns0:v>85</ns0:v>
      </ns0:c>
      <ns0:c r="C190" s="2" t="s">
        <ns0:v>1097</ns0:v>
      </ns0:c>
      <ns0:c r="D190" s="6" t="s">
        <ns0:v>2044</ns0:v>
      </ns0:c>
      <ns0:c r="E190" s="6" t="s">
        <ns0:v>2038</ns0:v>
      </ns0:c>
      <ns0:c r="F190" s="6"/>
      <ns0:c r="G190" s="2" t="s">
        <ns0:v>2040</ns0:v>
      </ns0:c>
      <ns0:c r="H190" s="2"/>
      <ns0:c r="I190" s="2" t="s">
        <ns0:v>2633</ns0:v>
      </ns0:c>
      <ns0:c r="J190" s="2" t="s">
        <ns0:v>2634</ns0:v>
      </ns0:c>
      <ns0:c r="K190" s="2" t="s">
        <ns0:v>2635</ns0:v>
      </ns0:c>
      <ns0:c r="L190" s="2" t="s">
        <ns0:v>2035</ns0:v>
      </ns0:c>
      <ns0:c r="M190" s="5" t="s">
        <ns0:v>1099</ns0:v>
      </ns0:c>
      <ns0:c r="N190" s="7" t="s">
        <ns0:v>1100</ns0:v>
      </ns0:c>
      <ns0:c r="O190" s="7" t="s">
        <ns0:v>1102</ns0:v>
      </ns0:c>
      <ns0:c r="P190" s="7" t="s">
        <ns0:v>2036</ns0:v>
      </ns0:c>
      <ns0:c r="Q190" s="7" t="s">
        <ns0:v>2376</ns0:v>
      </ns0:c>
      <ns0:c r="R190" s="7" t="s">
        <ns0:v>1919</ns0:v>
      </ns0:c>
      <ns0:c r="S190" s="70" t="str">
        <ns0:v>生存×能力強奪×魔物進化×人間の記憶と捕食本能の対立×襲撃者を返り討つ主人公</ns0:v>
      </ns0:c>
      <ns0:c r="T190" s="69" t="str">
        <ns0:v>前世では子供を救う。転生後は生存のため敵を食らう。</ns0:v>
      </ns0:c>
      <ns0:c r="U190" s="69" t="str">
        <ns0:v>各勢力は成長した主人公を危険視する。個別性格未確認。</ns0:v>
      </ns0:c>
      <ns0:c r="V190" s="69" t="str">
        <ns0:v>生存のため強くなるほど敵が増え、その敵を食らうことでさらに危険視される。</ns0:v>
      </ns0:c>
      <ns0:c r="W190" s="69" t="str">
        <ns0:v>能力収集の快感と人間性・本能の葛藤への関心。</ns0:v>
      </ns0:c>
      <ns0:c r="X190" s="69" t="str">
        <ns0:v>冒険者・勇者・魔王へ敵と獲得能力の範囲が拡大。</ns0:v>
      </ns0:c>
      <ns0:c r="Y190" s="71" t="str">
        <ns0:v>前世の善行と現在の行動は分ける。捕食を単純な悪意とはしない。</ns0:v>
      </ns0:c>
    </ns0:row>
    <ns0:row r="191" ht="64.05000305175781" customHeight="1">
      <ns0:c r="A191" s="2" t="s">
        <ns0:v>608</ns0:v>
      </ns0:c>
      <ns0:c r="B191" s="4">
        <ns0:v>86</ns0:v>
      </ns0:c>
      <ns0:c r="C191" s="2" t="s">
        <ns0:v>1103</ns0:v>
      </ns0:c>
      <ns0:c r="D191" s="6" t="s">
        <ns0:v>2039</ns0:v>
      </ns0:c>
      <ns0:c r="E191" s="6" t="s">
        <ns0:v>2117</ns0:v>
      </ns0:c>
      <ns0:c r="F191" s="6" t="s">
        <ns0:v>2038</ns0:v>
      </ns0:c>
      <ns0:c r="G191" s="2" t="s">
        <ns0:v>2040</ns0:v>
      </ns0:c>
      <ns0:c r="H191" s="2"/>
      <ns0:c r="I191" s="2" t="s">
        <ns0:v>2636</ns0:v>
      </ns0:c>
      <ns0:c r="J191" s="2" t="s">
        <ns0:v>2637</ns0:v>
      </ns0:c>
      <ns0:c r="K191" s="2" t="s">
        <ns0:v>2638</ns0:v>
      </ns0:c>
      <ns0:c r="L191" s="2" t="s">
        <ns0:v>2035</ns0:v>
      </ns0:c>
      <ns0:c r="M191" s="5" t="s">
        <ns0:v>1104</ns0:v>
      </ns0:c>
      <ns0:c r="N191" s="7" t="s">
        <ns0:v>1105</ns0:v>
      </ns0:c>
      <ns0:c r="O191" s="7" t="s">
        <ns0:v>1107</ns0:v>
      </ns0:c>
      <ns0:c r="P191" s="7" t="s">
        <ns0:v>2036</ns0:v>
      </ns0:c>
      <ns0:c r="Q191" s="7" t="s">
        <ns0:v>2376</ns0:v>
      </ns0:c>
      <ns0:c r="R191" s="7" t="s">
        <ns0:v>1920</ns0:v>
      </ns0:c>
      <ns0:c r="S191" s="73" t="str">
        <ns0:v>領地経営×破滅回避×知識応用×レベルゼロ×明るい主人公×溺愛するが経営下手な両親</ns0:v>
      </ns0:c>
      <ns0:c r="T191" s="72" t="str">
        <ns0:v>死を避けるため、明るく改革を進める。</ns0:v>
      </ns0:c>
      <ns0:c r="U191" s="72" t="str">
        <ns0:v>両親は財政を悪化させたが、子供を溺愛する。</ns0:v>
      </ns0:c>
      <ns0:c r="V191" s="72" t="str">
        <ns0:v>自分を強くできないため社会と味方を強くし、親との関係も支援源として使う。</ns0:v>
      </ns0:c>
      <ns0:c r="W191" s="72" t="str">
        <ns0:v>力以外で生存を切り開く納得と家族の安心。</ns0:v>
      </ns0:c>
      <ns0:c r="X191" s="72" t="str">
        <ns0:v>商業・軍団・領地へ改革が広がる。</ns0:v>
      </ns0:c>
      <ns0:c r="Y191" s="74" t="str">
        <ns0:v>両親の無能と愛情が同時に明記。悪役の親を一律に虐待者としない。</ns0:v>
      </ns0:c>
    </ns0:row>
    <ns0:row r="192" ht="64.05000305175781" customHeight="1">
      <ns0:c r="A192" s="2" t="s">
        <ns0:v>608</ns0:v>
      </ns0:c>
      <ns0:c r="B192" s="4">
        <ns0:v>87</ns0:v>
      </ns0:c>
      <ns0:c r="C192" s="2" t="s">
        <ns0:v>1108</ns0:v>
      </ns0:c>
      <ns0:c r="D192" s="6" t="s">
        <ns0:v>2038</ns0:v>
      </ns0:c>
      <ns0:c r="E192" s="6" t="s">
        <ns0:v>2151</ns0:v>
      </ns0:c>
      <ns0:c r="F192" s="6" t="s">
        <ns0:v>2138</ns0:v>
      </ns0:c>
      <ns0:c r="G192" s="2" t="s">
        <ns0:v>2040</ns0:v>
      </ns0:c>
      <ns0:c r="H192" s="2"/>
      <ns0:c r="I192" s="2" t="s">
        <ns0:v>2639</ns0:v>
      </ns0:c>
      <ns0:c r="J192" s="2" t="s">
        <ns0:v>2640</ns0:v>
      </ns0:c>
      <ns0:c r="K192" s="2" t="s">
        <ns0:v>2641</ns0:v>
      </ns0:c>
      <ns0:c r="L192" s="2" t="s">
        <ns0:v>2035</ns0:v>
      </ns0:c>
      <ns0:c r="M192" s="5" t="s">
        <ns0:v>1110</ns0:v>
      </ns0:c>
      <ns0:c r="N192" s="7" t="s">
        <ns0:v>1111</ns0:v>
      </ns0:c>
      <ns0:c r="O192" s="7" t="s">
        <ns0:v>1113</ns0:v>
      </ns0:c>
      <ns0:c r="P192" s="7" t="s">
        <ns0:v>2036</ns0:v>
      </ns0:c>
      <ns0:c r="Q192" s="7" t="s">
        <ns0:v>2376</ns0:v>
      </ns0:c>
      <ns0:c r="R192" s="7" t="s">
        <ns0:v>1926</ns0:v>
      </ns0:c>
      <ns0:c r="S192" s="70" t="str">
        <ns0:v>生存×魔物との共存×魔力ゼロ×生活を工夫する少年×力を奪う植物×責任を隠す裏切り者</ns0:v>
      </ns0:c>
      <ns0:c r="T192" s="69" t="str">
        <ns0:v>ポーションを提供して共存し、家族のため安定を望む。</ns0:v>
      </ns0:c>
      <ns0:c r="U192" s="69" t="str">
        <ns0:v>同級生は失態を隠すため置き去り。植物の娘の性格は未確認。</ns0:v>
      </ns0:c>
      <ns0:c r="V192" s="69" t="str">
        <ns0:v>人間社会の欠点だった魔力ゼロが、魔力を食う脅威から狙われない利点になる。</ns0:v>
      </ns0:c>
      <ns0:c r="W192" s="69" t="str">
        <ns0:v>欠点の再解釈と危険な場所を生活圏へ変える満足。</ns0:v>
      </ns0:c>
      <ns0:c r="X192" s="69" t="str">
        <ns0:v>共存・身体変化・新しい仲間・魔力の真相を予告。</ns0:v>
      </ns0:c>
      <ns0:c r="Y192" s="71" t="str">
        <ns0:v>共存の仕組みは明記。植物や娘に従順などの性格は補わない。</ns0:v>
      </ns0:c>
    </ns0:row>
    <ns0:row r="193" ht="64.05000305175781" customHeight="1">
      <ns0:c r="A193" s="2" t="s">
        <ns0:v>608</ns0:v>
      </ns0:c>
      <ns0:c r="B193" s="4">
        <ns0:v>88</ns0:v>
      </ns0:c>
      <ns0:c r="C193" s="2" t="s">
        <ns0:v>1114</ns0:v>
      </ns0:c>
      <ns0:c r="D193" s="6" t="s">
        <ns0:v>2117</ns0:v>
      </ns0:c>
      <ns0:c r="E193" s="6" t="s">
        <ns0:v>2118</ns0:v>
      </ns0:c>
      <ns0:c r="F193" s="6" t="s">
        <ns0:v>2030</ns0:v>
      </ns0:c>
      <ns0:c r="G193" s="2" t="s">
        <ns0:v>2040</ns0:v>
      </ns0:c>
      <ns0:c r="H193" s="2"/>
      <ns0:c r="I193" s="2" t="s">
        <ns0:v>2642</ns0:v>
      </ns0:c>
      <ns0:c r="J193" s="2" t="s">
        <ns0:v>2643</ns0:v>
      </ns0:c>
      <ns0:c r="K193" s="2" t="s">
        <ns0:v>2644</ns0:v>
      </ns0:c>
      <ns0:c r="L193" s="2" t="s">
        <ns0:v>2035</ns0:v>
      </ns0:c>
      <ns0:c r="M193" s="5" t="s">
        <ns0:v>1116</ns0:v>
      </ns0:c>
      <ns0:c r="N193" s="7" t="s">
        <ns0:v>1117</ns0:v>
      </ns0:c>
      <ns0:c r="O193" s="7" t="s">
        <ns0:v>1119</ns0:v>
      </ns0:c>
      <ns0:c r="P193" s="7" t="s">
        <ns0:v>2036</ns0:v>
      </ns0:c>
      <ns0:c r="Q193" s="7" t="s">
        <ns0:v>2376</ns0:v>
      </ns0:c>
      <ns0:c r="R193" s="7" t="s">
        <ns0:v>1938</ns0:v>
      </ns0:c>
      <ns0:c r="S193" s="73" t="str">
        <ns0:v>組織再建×ゲームキャラ召喚×恩に報いたい中年×アウトロー集団×意図しない裏社会の成功</ns0:v>
      </ns0:c>
      <ns0:c r="T193" s="72" t="str">
        <ns0:v>残る仲間と過去の恩のため責任を引き受ける。</ns0:v>
      </ns0:c>
      <ns0:c r="U193" s="72" t="str">
        <ns0:v>召喚者はアウトロー系ゲームのキャラ。個別性格未確認。</ns0:v>
      </ns0:c>
      <ns0:c r="V193" s="72" t="str">
        <ns0:v>善意のクラン再建に呼んだ戦力の得意分野が、本人を裏社会の頂点へ押し上げる。</ns0:v>
      </ns0:c>
      <ns0:c r="W193" s="72" t="str">
        <ns0:v>仲間を守る成功と本人の意図を越える規模の笑い。</ns0:v>
      </ns0:c>
      <ns0:c r="X193" s="72" t="str">
        <ns0:v>クラン再建から裏社会の地位へ進むと明記。</ns0:v>
      </ns0:c>
      <ns0:c r="Y193" s="74" t="str">
        <ns0:v>犯罪嗜好を主人公に付けない。召喚者の個別の癖は未確認。</ns0:v>
      </ns0:c>
    </ns0:row>
    <ns0:row r="194" ht="64.05000305175781" customHeight="1">
      <ns0:c r="A194" s="2" t="s">
        <ns0:v>608</ns0:v>
      </ns0:c>
      <ns0:c r="B194" s="4">
        <ns0:v>89</ns0:v>
      </ns0:c>
      <ns0:c r="C194" s="2" t="s">
        <ns0:v>1120</ns0:v>
      </ns0:c>
      <ns0:c r="D194" s="6" t="s">
        <ns0:v>2078</ns0:v>
      </ns0:c>
      <ns0:c r="E194" s="6"/>
      <ns0:c r="F194" s="6"/>
      <ns0:c r="G194" s="2" t="s">
        <ns0:v>2040</ns0:v>
      </ns0:c>
      <ns0:c r="H194" s="2"/>
      <ns0:c r="I194" s="2" t="s">
        <ns0:v>2645</ns0:v>
      </ns0:c>
      <ns0:c r="J194" s="2" t="s">
        <ns0:v>2646</ns0:v>
      </ns0:c>
      <ns0:c r="K194" s="2" t="s">
        <ns0:v>2647</ns0:v>
      </ns0:c>
      <ns0:c r="L194" s="2" t="s">
        <ns0:v>2035</ns0:v>
      </ns0:c>
      <ns0:c r="M194" s="5" t="s">
        <ns0:v>1121</ns0:v>
      </ns0:c>
      <ns0:c r="N194" s="7" t="s">
        <ns0:v>1122</ns0:v>
      </ns0:c>
      <ns0:c r="O194" s="7" t="s">
        <ns0:v>1124</ns0:v>
      </ns0:c>
      <ns0:c r="P194" s="7" t="s">
        <ns0:v>2036</ns0:v>
      </ns0:c>
      <ns0:c r="Q194" s="7" t="s">
        <ns0:v>2376</ns0:v>
      </ns0:c>
      <ns0:c r="R194" s="7" t="s">
        <ns0:v>1922</ns0:v>
      </ns0:c>
      <ns0:c r="S194" s="70" t="str">
        <ns0:v>修行×転生やり直し×才能不足×天才に憧れ努力を続ける主人公×前世経験</ns0:v>
      </ns0:c>
      <ns0:c r="T194" s="69" t="str">
        <ns0:v>前世は街の危機に単独で戦い、今世も天才を超えたいと努力する。</ns0:v>
      </ns0:c>
      <ns0:c r="U194" s="69" t="str">
        <ns0:v>主要な相手役の性格は未確認。</ns0:v>
      </ns0:c>
      <ns0:c r="V194" s="69" t="str">
        <ns0:v>転生で才能をもらうのではなく、失敗した人生の経験を再度の努力へ持ち越す。</ns0:v>
      </ns0:c>
      <ns0:c r="W194" s="69" t="str">
        <ns0:v>憧れに近づく積み重ねと二度目の機会。</ns0:v>
      </ns0:c>
      <ns0:c r="X194" s="69" t="str">
        <ns0:v>前世知識による成長方針まで。具体的な練習の工夫は未確認。</ns0:v>
      </ns0:c>
      <ns0:c r="Y194" s="71" t="str">
        <ns0:v>二度目も才能なしと明記。努力だけでの独自性の強さは追加確認が必要。</ns0:v>
      </ns0:c>
    </ns0:row>
    <ns0:row r="195" ht="64.05000305175781" customHeight="1">
      <ns0:c r="A195" s="2" t="s">
        <ns0:v>608</ns0:v>
      </ns0:c>
      <ns0:c r="B195" s="4">
        <ns0:v>90</ns0:v>
      </ns0:c>
      <ns0:c r="C195" s="2" t="s">
        <ns0:v>1125</ns0:v>
      </ns0:c>
      <ns0:c r="D195" s="6" t="s">
        <ns0:v>2109</ns0:v>
      </ns0:c>
      <ns0:c r="E195" s="6" t="s">
        <ns0:v>2321</ns0:v>
      </ns0:c>
      <ns0:c r="F195" s="6" t="s">
        <ns0:v>2044</ns0:v>
      </ns0:c>
      <ns0:c r="G195" s="9" t="s">
        <ns0:v>2059</ns0:v>
      </ns0:c>
      <ns0:c r="H195" s="9" t="s">
        <ns0:v>2109</ns0:v>
      </ns0:c>
      <ns0:c r="I195" s="2" t="s">
        <ns0:v>2648</ns0:v>
      </ns0:c>
      <ns0:c r="J195" s="2" t="s">
        <ns0:v>2649</ns0:v>
      </ns0:c>
      <ns0:c r="K195" s="2" t="s">
        <ns0:v>2650</ns0:v>
      </ns0:c>
      <ns0:c r="L195" s="2" t="s">
        <ns0:v>2035</ns0:v>
      </ns0:c>
      <ns0:c r="M195" s="5" t="s">
        <ns0:v>1127</ns0:v>
      </ns0:c>
      <ns0:c r="N195" s="7" t="s">
        <ns0:v>1128</ns0:v>
      </ns0:c>
      <ns0:c r="O195" s="7" t="s">
        <ns0:v>1130</ns0:v>
      </ns0:c>
      <ns0:c r="P195" s="7" t="s">
        <ns0:v>2036</ns0:v>
      </ns0:c>
      <ns0:c r="Q195" s="7" t="s">
        <ns0:v>2376</ns0:v>
      </ns0:c>
      <ns0:c r="R195" s="7" t="s">
        <ns0:v>1923</ns0:v>
      </ns0:c>
      <ns0:c r="S195" s="73" t="str">
        <ns0:v>放浪×理不尽への抵抗×集団転移×希望を失った中年×経験則で動く容赦のなさ</ns0:v>
      </ns0:c>
      <ns0:c r="T195" s="72" t="str">
        <ns0:v>息子を失い、司法に失望。殺害への躊躇が薄く経験則で動く。</ns0:v>
      </ns0:c>
      <ns0:c r="U195" s="72" t="str">
        <ns0:v>クラスメイトの性格は未確認。</ns0:v>
      </ns0:c>
      <ns0:c r="V195" s="72" t="str">
        <ns0:v>希望や使命で動く転移者と異なる、喪失を背負った大人の判断から理不尽へ対処する。</ns0:v>
      </ns0:c>
      <ns0:c r="W195" s="72" t="str">
        <ns0:v>容赦なく抗う緊張と年齢相応の判断への関心。</ns0:v>
      </ns0:c>
      <ns0:c r="X195" s="72" t="str">
        <ns0:v>放浪と対処を予告。万能ではないと作者が明記。</ns0:v>
      </ns0:c>
      <ns0:c r="Y195" s="74" t="str">
        <ns0:v>刑罰の記述は作中動機としてのみ扱い、現実の法律判断に流用しない。</ns0:v>
      </ns0:c>
    </ns0:row>
    <ns0:row r="196" ht="64.05000305175781" customHeight="1">
      <ns0:c r="A196" s="2" t="s">
        <ns0:v>608</ns0:v>
      </ns0:c>
      <ns0:c r="B196" s="4">
        <ns0:v>91</ns0:v>
      </ns0:c>
      <ns0:c r="C196" s="2" t="s">
        <ns0:v>1131</ns0:v>
      </ns0:c>
      <ns0:c r="D196" s="6" t="s">
        <ns0:v>2063</ns0:v>
      </ns0:c>
      <ns0:c r="E196" s="6"/>
      <ns0:c r="F196" s="6"/>
      <ns0:c r="G196" s="2" t="s">
        <ns0:v>2040</ns0:v>
      </ns0:c>
      <ns0:c r="H196" s="2"/>
      <ns0:c r="I196" s="2" t="s">
        <ns0:v>2651</ns0:v>
      </ns0:c>
      <ns0:c r="J196" s="2" t="s">
        <ns0:v>2652</ns0:v>
      </ns0:c>
      <ns0:c r="K196" s="2" t="s">
        <ns0:v>2653</ns0:v>
      </ns0:c>
      <ns0:c r="L196" s="2" t="s">
        <ns0:v>2035</ns0:v>
      </ns0:c>
      <ns0:c r="M196" s="5" t="s">
        <ns0:v>1132</ns0:v>
      </ns0:c>
      <ns0:c r="N196" s="7" t="s">
        <ns0:v>1133</ns0:v>
      </ns0:c>
      <ns0:c r="O196" s="7" t="s">
        <ns0:v>1135</ns0:v>
      </ns0:c>
      <ns0:c r="P196" s="7" t="s">
        <ns0:v>2036</ns0:v>
      </ns0:c>
      <ns0:c r="Q196" s="7" t="s">
        <ns0:v>2376</ns0:v>
      </ns0:c>
      <ns0:c r="R196" s="7" t="s">
        <ns0:v>1915</ns0:v>
      </ns0:c>
      <ns0:c r="S196" s="70" t="str">
        <ns0:v>生活自立×探索×強さで権利を得る×やさぐれた人間不信の主人公×倫理の回復</ns0:v>
      </ns0:c>
      <ns0:c r="T196" s="69" t="str">
        <ns0:v>名声より食住を求め、自分も他人も信用しない。</ns0:v>
      </ns0:c>
      <ns0:c r="U196" s="69" t="str">
        <ns0:v>主要な相手役の性格は未確認。</ns0:v>
      </ns0:c>
      <ns0:c r="V196" s="69" t="str">
        <ns0:v>強さが敵を倒す道具に加え、尊厳ある暮らしと失った倫理を取り戻す条件になる。</ns0:v>
      </ns0:c>
      <ns0:c r="W196" s="69" t="str">
        <ns0:v>まともに生きる権利の獲得と内面の回復。</ns0:v>
      </ns0:c>
      <ns0:c r="X196" s="69" t="str">
        <ns0:v>生活改善だけでなく倫理を取り戻すと明記。</ns0:v>
      </ns0:c>
      <ns0:c r="Y196" s="71" t="str">
        <ns0:v>人間不信は明記。最後まで他者を拒む話とは決めない。</ns0:v>
      </ns0:c>
    </ns0:row>
    <ns0:row r="197" ht="64.05000305175781" customHeight="1">
      <ns0:c r="A197" s="2" t="s">
        <ns0:v>608</ns0:v>
      </ns0:c>
      <ns0:c r="B197" s="4">
        <ns0:v>92</ns0:v>
      </ns0:c>
      <ns0:c r="C197" s="2" t="s">
        <ns0:v>1136</ns0:v>
      </ns0:c>
      <ns0:c r="D197" s="6" t="s">
        <ns0:v>2030</ns0:v>
      </ns0:c>
      <ns0:c r="E197" s="6" t="s">
        <ns0:v>2044</ns0:v>
      </ns0:c>
      <ns0:c r="F197" s="6"/>
      <ns0:c r="G197" s="2" t="s">
        <ns0:v>2040</ns0:v>
      </ns0:c>
      <ns0:c r="H197" s="2"/>
      <ns0:c r="I197" s="2" t="s">
        <ns0:v>2654</ns0:v>
      </ns0:c>
      <ns0:c r="J197" s="2" t="s">
        <ns0:v>2655</ns0:v>
      </ns0:c>
      <ns0:c r="K197" s="2" t="s">
        <ns0:v>2656</ns0:v>
      </ns0:c>
      <ns0:c r="L197" s="2" t="s">
        <ns0:v>2035</ns0:v>
      </ns0:c>
      <ns0:c r="M197" s="5" t="s">
        <ns0:v>1138</ns0:v>
      </ns0:c>
      <ns0:c r="N197" s="7" t="s">
        <ns0:v>1139</ns0:v>
      </ns0:c>
      <ns0:c r="O197" s="7" t="s">
        <ns0:v>1141</ns0:v>
      </ns0:c>
      <ns0:c r="P197" s="7" t="s">
        <ns0:v>2036</ns0:v>
      </ns0:c>
      <ns0:c r="Q197" s="7" t="s">
        <ns0:v>2376</ns0:v>
      </ns0:c>
      <ns0:c r="R197" s="7" t="s">
        <ns0:v>2002</ns0:v>
      </ns0:c>
      <ns0:c r="S197" s="73" t="str">
        <ns0:v>冒険者の成長×風魔法×アニメ・小説知識×弱そうな通り名×性格未確認</ns0:v>
      </ns0:c>
      <ns0:c r="T197" s="72" t="str">
        <ns0:v>知識を魔法に応用する。固有の性格は未確認。</ns0:v>
      </ns0:c>
      <ns0:c r="U197" s="72" t="str">
        <ns0:v>敵は名に騙され驚くとキャッチで示される。</ns0:v>
      </ns0:c>
      <ns0:c r="V197" s="72" t="str">
        <ns0:v>そよ風という弱い印象と、知識で引き出す能力の脅威が食い違う。</ns0:v>
      </ns0:c>
      <ns0:c r="W197" s="72" t="str">
        <ns0:v>侮りを覆す実力と一系統の能力応用。</ns0:v>
      </ns0:c>
      <ns0:c r="X197" s="72" t="str">
        <ns0:v>冒険者階級の上昇を予告。性格に基づく変奏は未確認。</ns0:v>
      </ns0:c>
      <ns0:c r="Y197" s="74" t="str">
        <ns0:v>通り名と実力差は題名・キャッチ。具体的な応用原理は未確認。</ns0:v>
      </ns0:c>
    </ns0:row>
    <ns0:row r="198" ht="64.05000305175781" customHeight="1">
      <ns0:c r="A198" s="2" t="s">
        <ns0:v>608</ns0:v>
      </ns0:c>
      <ns0:c r="B198" s="4">
        <ns0:v>93</ns0:v>
      </ns0:c>
      <ns0:c r="C198" s="2" t="s">
        <ns0:v>1142</ns0:v>
      </ns0:c>
      <ns0:c r="D198" s="6" t="s">
        <ns0:v>2102</ns0:v>
      </ns0:c>
      <ns0:c r="E198" s="6" t="s">
        <ns0:v>2063</ns0:v>
      </ns0:c>
      <ns0:c r="F198" s="6"/>
      <ns0:c r="G198" s="2" t="s">
        <ns0:v>2040</ns0:v>
      </ns0:c>
      <ns0:c r="H198" s="2"/>
      <ns0:c r="I198" s="2" t="s">
        <ns0:v>2657</ns0:v>
      </ns0:c>
      <ns0:c r="J198" s="2" t="s">
        <ns0:v>2658</ns0:v>
      </ns0:c>
      <ns0:c r="K198" s="2" t="s">
        <ns0:v>2659</ns0:v>
      </ns0:c>
      <ns0:c r="L198" s="2" t="s">
        <ns0:v>2035</ns0:v>
      </ns0:c>
      <ns0:c r="M198" s="5" t="s">
        <ns0:v>1144</ns0:v>
      </ns0:c>
      <ns0:c r="N198" s="7" t="s">
        <ns0:v>1145</ns0:v>
      </ns0:c>
      <ns0:c r="O198" s="7" t="s">
        <ns0:v>1147</ns0:v>
      </ns0:c>
      <ns0:c r="P198" s="7" t="s">
        <ns0:v>2036</ns0:v>
      </ns0:c>
      <ns0:c r="Q198" s="7" t="s">
        <ns0:v>2376</ns0:v>
      </ns0:c>
      <ns0:c r="R198" s="7" t="s">
        <ns0:v>1985</ns0:v>
      </ns0:c>
      <ns0:c r="S198" s="70" t="str">
        <ns0:v>帰還後の恋愛×死亡誤認×面倒を避けたい元勇者×仲間の危機だけ強い力×喪失で執着する四人のヒロイン</ns0:v>
      </ns0:c>
      <ns0:c r="T198" s="69" t="str">
        <ns0:v>普段は面倒を嫌い、仲間の危機には力を出す。静かに暮らしたい。</ns0:v>
      </ns0:c>
      <ns0:c r="U198" s="69" t="str">
        <ns0:v>四人は二度と失いたくない。元仲間三人は自己犠牲の死と信じていた。</ns0:v>
      </ns0:c>
      <ns0:c r="V198" s="69" t="str">
        <ns0:v>本人には帰郷の試みが、相手には命がけの別れに見え、一年の喪失が執着を強める。</ns0:v>
      </ns0:c>
      <ns0:c r="W198" s="69" t="str">
        <ns0:v>普段の脱力と危機での頼もしさ、再会に集中する重い愛。</ns0:v>
      </ns0:c>
      <ns0:c r="X198" s="69" t="str">
        <ns0:v>帰還後の関係が主軸。四人ごとの執着の形は未確認。</ns0:v>
      </ns0:c>
      <ns0:c r="Y198" s="71" t="str">
        <ns0:v>題名と紹介文でヤンデレ対象は明確。全員の過去の嫌悪は示されない。</ns0:v>
      </ns0:c>
    </ns0:row>
    <ns0:row r="199" ht="64.05000305175781" customHeight="1">
      <ns0:c r="A199" s="2" t="s">
        <ns0:v>608</ns0:v>
      </ns0:c>
      <ns0:c r="B199" s="4">
        <ns0:v>94</ns0:v>
      </ns0:c>
      <ns0:c r="C199" s="2" t="s">
        <ns0:v>1148</ns0:v>
      </ns0:c>
      <ns0:c r="D199" s="6" t="s">
        <ns0:v>2044</ns0:v>
      </ns0:c>
      <ns0:c r="E199" s="6" t="s">
        <ns0:v>2321</ns0:v>
      </ns0:c>
      <ns0:c r="F199" s="6"/>
      <ns0:c r="G199" s="2" t="s">
        <ns0:v>2040</ns0:v>
      </ns0:c>
      <ns0:c r="H199" s="2"/>
      <ns0:c r="I199" s="2" t="s">
        <ns0:v>2660</ns0:v>
      </ns0:c>
      <ns0:c r="J199" s="2" t="s">
        <ns0:v>2661</ns0:v>
      </ns0:c>
      <ns0:c r="K199" s="2" t="s">
        <ns0:v>2662</ns0:v>
      </ns0:c>
      <ns0:c r="L199" s="2" t="s">
        <ns0:v>2196</ns0:v>
      </ns0:c>
      <ns0:c r="M199" s="5" t="s">
        <ns0:v>1150</ns0:v>
      </ns0:c>
      <ns0:c r="N199" s="7" t="s">
        <ns0:v>1151</ns0:v>
      </ns0:c>
      <ns0:c r="O199" s="7" t="s">
        <ns0:v>1153</ns0:v>
      </ns0:c>
      <ns0:c r="P199" s="7" t="s">
        <ns0:v>2036</ns0:v>
      </ns0:c>
      <ns0:c r="Q199" s="7" t="s">
        <ns0:v>2376</ns0:v>
      </ns0:c>
      <ns0:c r="R199" s="7" t="s">
        <ns0:v>1967</ns0:v>
      </ns0:c>
      <ns0:c r="S199" s="73" t="str">
        <ns0:v>宇宙冒険×魔法無双×喋る宇宙船×異世界経験豊富な中年×性格未確認</ns0:v>
      </ns0:c>
      <ns0:c r="T199" s="72" t="str">
        <ns0:v>多数の世界を渡った経験者。性格未確認。</ns0:v>
      </ns0:c>
      <ns0:c r="U199" s="72" t="str">
        <ns0:v>宇宙船は喋る。口調・性格・主人公との相性は未確認。</ns0:v>
      </ns0:c>
      <ns0:c r="V199" s="72" t="str">
        <ns0:v>SF的な舞台で魔法の強さを発揮する異分野の組み合わせ。会話の独自性までは不明。</ns0:v>
      </ns0:c>
      <ns0:c r="W199" s="72" t="str">
        <ns0:v>宇宙規模の冒険と力で突破する気楽さ。</ns0:v>
      </ns0:c>
      <ns0:c r="X199" s="72" t="str">
        <ns0:v>宇宙船での無双まで。紹介は雰囲気重視と明記。</ns0:v>
      </ns0:c>
      <ns0:c r="Y199" s="74" t="str">
        <ns0:v>喋る物体を生意気・毒舌の相棒と自動補完しない。</ns0:v>
      </ns0:c>
    </ns0:row>
    <ns0:row r="200" ht="64.05000305175781" customHeight="1">
      <ns0:c r="A200" s="2" t="s">
        <ns0:v>608</ns0:v>
      </ns0:c>
      <ns0:c r="B200" s="4">
        <ns0:v>95</ns0:v>
      </ns0:c>
      <ns0:c r="C200" s="2" t="s">
        <ns0:v>1154</ns0:v>
      </ns0:c>
      <ns0:c r="D200" s="6" t="s">
        <ns0:v>2038</ns0:v>
      </ns0:c>
      <ns0:c r="E200" s="6" t="s">
        <ns0:v>2058</ns0:v>
      </ns0:c>
      <ns0:c r="F200" s="6" t="s">
        <ns0:v>2321</ns0:v>
      </ns0:c>
      <ns0:c r="G200" s="9" t="s">
        <ns0:v>2031</ns0:v>
      </ns0:c>
      <ns0:c r="H200" s="9" t="s">
        <ns0:v>2058</ns0:v>
      </ns0:c>
      <ns0:c r="I200" s="2" t="s">
        <ns0:v>2663</ns0:v>
      </ns0:c>
      <ns0:c r="J200" s="2" t="s">
        <ns0:v>2664</ns0:v>
      </ns0:c>
      <ns0:c r="K200" s="2" t="s">
        <ns0:v>2665</ns0:v>
      </ns0:c>
      <ns0:c r="L200" s="2" t="s">
        <ns0:v>2035</ns0:v>
      </ns0:c>
      <ns0:c r="M200" s="5" t="s">
        <ns0:v>1156</ns0:v>
      </ns0:c>
      <ns0:c r="N200" s="7" t="s">
        <ns0:v>1157</ns0:v>
      </ns0:c>
      <ns0:c r="O200" s="7" t="s">
        <ns0:v>1159</ns0:v>
      </ns0:c>
      <ns0:c r="P200" s="7" t="s">
        <ns0:v>2036</ns0:v>
      </ns0:c>
      <ns0:c r="Q200" s="7" t="s">
        <ns0:v>2376</ns0:v>
      </ns0:c>
      <ns0:c r="R200" s="7" t="s">
        <ns0:v>1927</ns0:v>
      </ns0:c>
      <ns0:c r="S200" s="70" t="str">
        <ns0:v>護衛・逃避行×追放×最強の中年×生き抜こうとする令嬢×とぼけた冒険者</ns0:v>
      </ns0:c>
      <ns0:c r="T200" s="69" t="str">
        <ns0:v>追放後も生き抜く意思があり、解体を手伝い護衛を頼む。</ns0:v>
      </ns0:c>
      <ns0:c r="U200" s="69" t="str">
        <ns0:v>冒険者はとぼけたとの題名。無精な外見だが整えると印象が変わる。</ns0:v>
      </ns0:c>
      <ns0:c r="V200" s="69" t="str">
        <ns0:v>追われる高位女性が、無造作な外見の実力者と実務の助け合いから関係を結ぶ。</ns0:v>
      </ns0:c>
      <ns0:c r="W200" s="69" t="str">
        <ns0:v>頼れる相手を得る安心と見かけの再評価。</ns0:v>
      </ns0:c>
      <ns0:c r="X200" s="69" t="str">
        <ns0:v>護衛が予定より続き襲撃も継続。性格の具体的な掛け合いは未確認。</ns0:v>
      </ns0:c>
      <ns0:c r="Y200" s="71" t="str">
        <ns0:v>とぼけた性格は題名段階。腹黒さ等は補わない。</ns0:v>
      </ns0:c>
    </ns0:row>
    <ns0:row r="201" ht="64.05000305175781" customHeight="1">
      <ns0:c r="A201" s="2" t="s">
        <ns0:v>608</ns0:v>
      </ns0:c>
      <ns0:c r="B201" s="4">
        <ns0:v>96</ns0:v>
      </ns0:c>
      <ns0:c r="C201" s="2" t="s">
        <ns0:v>1160</ns0:v>
      </ns0:c>
      <ns0:c r="D201" s="6" t="s">
        <ns0:v>2044</ns0:v>
      </ns0:c>
      <ns0:c r="E201" s="6"/>
      <ns0:c r="F201" s="6"/>
      <ns0:c r="G201" s="2" t="s">
        <ns0:v>2040</ns0:v>
      </ns0:c>
      <ns0:c r="H201" s="2"/>
      <ns0:c r="I201" s="2" t="s">
        <ns0:v>2666</ns0:v>
      </ns0:c>
      <ns0:c r="J201" s="2" t="s">
        <ns0:v>2667</ns0:v>
      </ns0:c>
      <ns0:c r="K201" s="2" t="s">
        <ns0:v>2668</ns0:v>
      </ns0:c>
      <ns0:c r="L201" s="2" t="s">
        <ns0:v>2035</ns0:v>
      </ns0:c>
      <ns0:c r="M201" s="5" t="s">
        <ns0:v>1162</ns0:v>
      </ns0:c>
      <ns0:c r="N201" s="7" t="s">
        <ns0:v>1163</ns0:v>
      </ns0:c>
      <ns0:c r="O201" s="7" t="s">
        <ns0:v>1165</ns0:v>
      </ns0:c>
      <ns0:c r="P201" s="7" t="s">
        <ns0:v>2036</ns0:v>
      </ns0:c>
      <ns0:c r="Q201" s="7" t="s">
        <ns0:v>2376</ns0:v>
      </ns0:c>
      <ns0:c r="R201" s="7" t="s">
        <ns0:v>1928</ns0:v>
      </ns0:c>
      <ns0:c r="S201" s="73" t="str">
        <ns0:v>能力攻略×ゲーム仕様・物理バグ×無双×使いながら驚く主人公×同じく特殊能力を使う敵</ns0:v>
      </ns0:c>
      <ns0:c r="T201" s="72" t="str">
        <ns0:v>能力を試して驚き、不可解な効果には自分も分からないと答える。</ns0:v>
      </ns0:c>
      <ns0:c r="U201" s="72" t="str">
        <ns0:v>敵は想定外の回復や現象に混乱する。個別性格未確認。</ns0:v>
      </ns0:c>
      <ns0:c r="V201" s="72" t="str">
        <ns0:v>ゲーム的な操作が現実の戦闘に入り込み、使用者の理解を越えた理不尽さを生む。</ns0:v>
      </ns0:c>
      <ns0:c r="W201" s="72" t="str">
        <ns0:v>仕様の逆用の笑いと敵の手との競合。</ns0:v>
      </ns0:c>
      <ns0:c r="X201" s="72" t="str">
        <ns0:v>複数の操作・バグと敵側のユニーク能力を明記。</ns0:v>
      </ns0:c>
      <ns0:c r="Y201" s="74" t="str">
        <ns0:v>余裕の万能解説者ではないことが会話から確認できる。</ns0:v>
      </ns0:c>
    </ns0:row>
    <ns0:row r="202" ht="67.95" customHeight="1">
      <ns0:c r="A202" s="2" t="s">
        <ns0:v>608</ns0:v>
      </ns0:c>
      <ns0:c r="B202" s="4">
        <ns0:v>97</ns0:v>
      </ns0:c>
      <ns0:c r="C202" s="2" t="s">
        <ns0:v>1166</ns0:v>
      </ns0:c>
      <ns0:c r="D202" s="6" t="s">
        <ns0:v>2049</ns0:v>
      </ns0:c>
      <ns0:c r="E202" s="6" t="s">
        <ns0:v>2039</ns0:v>
      </ns0:c>
      <ns0:c r="F202" s="6" t="s">
        <ns0:v>2151</ns0:v>
      </ns0:c>
      <ns0:c r="G202" s="2" t="s">
        <ns0:v>2040</ns0:v>
      </ns0:c>
      <ns0:c r="H202" s="2"/>
      <ns0:c r="I202" s="2" t="s">
        <ns0:v>2669</ns0:v>
      </ns0:c>
      <ns0:c r="J202" s="2" t="s">
        <ns0:v>2670</ns0:v>
      </ns0:c>
      <ns0:c r="K202" s="2" t="s">
        <ns0:v>2671</ns0:v>
      </ns0:c>
      <ns0:c r="L202" s="2" t="s">
        <ns0:v>2035</ns0:v>
      </ns0:c>
      <ns0:c r="M202" s="5" t="s">
        <ns0:v>1168</ns0:v>
      </ns0:c>
      <ns0:c r="N202" s="7" t="s">
        <ns0:v>1169</ns0:v>
      </ns0:c>
      <ns0:c r="O202" s="7" t="s">
        <ns0:v>1171</ns0:v>
      </ns0:c>
      <ns0:c r="P202" s="7" t="s">
        <ns0:v>2036</ns0:v>
      </ns0:c>
      <ns0:c r="Q202" s="7" t="s">
        <ns0:v>2376</ns0:v>
      </ns0:c>
      <ns0:c r="R202" s="7" t="s">
        <ns0:v>1960</ns0:v>
      </ns0:c>
      <ns0:c r="S202" s="70" t="str">
        <ns0:v>錬金術×生活・国づくり×追放後の再評価×しがらみなく活動したい天才×囲い込みたい貴族</ns0:v>
      </ns0:c>
      <ns0:c r="T202" s="69" t="str">
        <ns0:v>辺境で自由に能力を発揮し、のんびり暮らしたい。</ns0:v>
      </ns0:c>
      <ns0:c r="U202" s="69" t="str">
        <ns0:v>公爵家は価値を認め、取り込もうと勢力を築く。個別性格未確認。</ns0:v>
      </ns0:c>
      <ns0:c r="V202" s="69" t="str">
        <ns0:v>干渉から離れることで才能が伸び、その成果が再び大きな関係や責任を呼び込む。</ns0:v>
      </ns0:c>
      <ns0:c r="W202" s="69" t="str">
        <ns0:v>自由な創作と評価の膨張、忙しくなる予感。</ns0:v>
      </ns0:c>
      <ns0:c r="X202" s="69" t="str">
        <ns0:v>神霊・神獣との契約から国家を超える理想郷へ。</ns0:v>
      </ns0:c>
      <ns0:c r="Y202" s="71" t="str">
        <ns0:v>願望は題名、周囲の行動は紹介文。令嬢の性格は未確認。</ns0:v>
      </ns0:c>
    </ns0:row>
    <ns0:row r="203" ht="64.05000305175781" customHeight="1">
      <ns0:c r="A203" s="2" t="s">
        <ns0:v>608</ns0:v>
      </ns0:c>
      <ns0:c r="B203" s="4">
        <ns0:v>98</ns0:v>
      </ns0:c>
      <ns0:c r="C203" s="2" t="s">
        <ns0:v>1172</ns0:v>
      </ns0:c>
      <ns0:c r="D203" s="6" t="s">
        <ns0:v>2077</ns0:v>
      </ns0:c>
      <ns0:c r="E203" s="6" t="s">
        <ns0:v>2102</ns0:v>
      </ns0:c>
      <ns0:c r="F203" s="6" t="s">
        <ns0:v>2063</ns0:v>
      </ns0:c>
      <ns0:c r="G203" s="9" t="s">
        <ns0:v>2059</ns0:v>
      </ns0:c>
      <ns0:c r="H203" s="9" t="s">
        <ns0:v>2077</ns0:v>
      </ns0:c>
      <ns0:c r="I203" s="2" t="s">
        <ns0:v>2672</ns0:v>
      </ns0:c>
      <ns0:c r="J203" s="2" t="s">
        <ns0:v>2673</ns0:v>
      </ns0:c>
      <ns0:c r="K203" s="2" t="s">
        <ns0:v>2674</ns0:v>
      </ns0:c>
      <ns0:c r="L203" s="2" t="s">
        <ns0:v>2035</ns0:v>
      </ns0:c>
      <ns0:c r="M203" s="5" t="s">
        <ns0:v>1174</ns0:v>
      </ns0:c>
      <ns0:c r="N203" s="7"/>
      <ns0:c r="O203" s="7" t="s">
        <ns0:v>1176</ns0:v>
      </ns0:c>
      <ns0:c r="P203" s="7" t="s">
        <ns0:v>2036</ns0:v>
      </ns0:c>
      <ns0:c r="Q203" s="7" t="s">
        <ns0:v>2376</ns0:v>
      </ns0:c>
      <ns0:c r="R203" s="7" t="s">
        <ns0:v>1914</ns0:v>
      </ns0:c>
      <ns0:c r="S203" s="73" t="str">
        <ns0:v>職業自立×婚約の破綻×付与術×一人で生きる決意×生活を先に築く女性</ns0:v>
      </ns0:c>
      <ns0:c r="T203" s="72" t="str">
        <ns0:v>家族も故郷も頼れず、技術で一人で生きようと決める。</ns0:v>
      </ns0:c>
      <ns0:c r="U203" s="72" t="str">
        <ns0:v>婚約相手は白紙化を求める。理由と性格は未確認。</ns0:v>
      </ns0:c>
      <ns0:c r="V203" s="72" t="str">
        <ns0:v>結婚で得るはずだった基盤を技能で作り、恋愛の前に生活の主体性を回復する。</ns0:v>
      </ns0:c>
      <ns0:c r="W203" s="72" t="str">
        <ns0:v>専門技能による安心と自立の手応え。</ns0:v>
      </ns0:c>
      <ns0:c r="X203" s="72" t="str">
        <ns0:v>恋愛到達には時間がかかると明記。仕事の案件詳細未確認。</ns0:v>
      </ns0:c>
      <ns0:c r="Y203" s="74" t="str">
        <ns0:v>婚約相手を悪人と即断しない。破棄要求以上の動機は不明。</ns0:v>
      </ns0:c>
    </ns0:row>
    <ns0:row r="204" ht="64.05000305175781" customHeight="1">
      <ns0:c r="A204" s="2" t="s">
        <ns0:v>608</ns0:v>
      </ns0:c>
      <ns0:c r="B204" s="4">
        <ns0:v>99</ns0:v>
      </ns0:c>
      <ns0:c r="C204" s="2" t="s">
        <ns0:v>1177</ns0:v>
      </ns0:c>
      <ns0:c r="D204" s="6" t="s">
        <ns0:v>2113</ns0:v>
      </ns0:c>
      <ns0:c r="E204" s="6" t="s">
        <ns0:v>2078</ns0:v>
      </ns0:c>
      <ns0:c r="F204" s="6" t="s">
        <ns0:v>2039</ns0:v>
      </ns0:c>
      <ns0:c r="G204" s="2" t="s">
        <ns0:v>2040</ns0:v>
      </ns0:c>
      <ns0:c r="H204" s="2"/>
      <ns0:c r="I204" s="2" t="s">
        <ns0:v>2675</ns0:v>
      </ns0:c>
      <ns0:c r="J204" s="2" t="s">
        <ns0:v>2676</ns0:v>
      </ns0:c>
      <ns0:c r="K204" s="2" t="s">
        <ns0:v>2677</ns0:v>
      </ns0:c>
      <ns0:c r="L204" s="2" t="s">
        <ns0:v>2678</ns0:v>
      </ns0:c>
      <ns0:c r="M204" s="5" t="s">
        <ns0:v>1179</ns0:v>
      </ns0:c>
      <ns0:c r="N204" s="7" t="s">
        <ns0:v>1180</ns0:v>
      </ns0:c>
      <ns0:c r="O204" s="7" t="s">
        <ns0:v>1182</ns0:v>
      </ns0:c>
      <ns0:c r="P204" s="7" t="s">
        <ns0:v>2036</ns0:v>
      </ns0:c>
      <ns0:c r="Q204" s="7" t="s">
        <ns0:v>2376</ns0:v>
      </ns0:c>
      <ns0:c r="R204" s="7" t="s">
        <ns0:v>2004</ns0:v>
      </ns0:c>
      <ns0:c r="S204" s="70" t="str">
        <ns0:v>成長×王位への期待×無双×姉たちの溺愛×戦闘メイドゴーレムのロマン〔発言者未確認〕</ns0:v>
      </ns0:c>
      <ns0:c r="T204" s="69" t="str">
        <ns0:v>王子が力を身につける。固有の性格は未確認。</ns0:v>
      </ns0:c>
      <ns0:c r="U204" s="69" t="str">
        <ns0:v>五人の姉は弟を愛する。各人の癖や独占の程度は未確認。</ns0:v>
      </ns0:c>
      <ns0:c r="V204" s="69" t="str">
        <ns0:v>希少な男子としての期待と、強い身内に愛され成長する特別扱いが重なる。</ns0:v>
      </ns0:c>
      <ns0:c r="W204" s="69" t="str">
        <ns0:v>無条件に大切にされる安心と能力獲得。</ns0:v>
      </ns0:c>
      <ns0:c r="X204" s="69" t="str">
        <ns0:v>成長と世界の変動を予告。各姉との組み合わせは情報不足。</ns0:v>
      </ns0:c>
      <ns0:c r="Y204" s="71" t="str">
        <ns0:v>溺愛は明記。キャッチのロマン発言を主人公に断定して割り当てない。</ns0:v>
      </ns0:c>
    </ns0:row>
    <ns0:row r="205" ht="67.95" customHeight="1">
      <ns0:c r="A205" s="2" t="s">
        <ns0:v>608</ns0:v>
      </ns0:c>
      <ns0:c r="B205" s="4">
        <ns0:v>100</ns0:v>
      </ns0:c>
      <ns0:c r="C205" s="2" t="s">
        <ns0:v>1183</ns0:v>
      </ns0:c>
      <ns0:c r="D205" s="6" t="s">
        <ns0:v>2082</ns0:v>
      </ns0:c>
      <ns0:c r="E205" s="6" t="s">
        <ns0:v>2102</ns0:v>
      </ns0:c>
      <ns0:c r="F205" s="6" t="s">
        <ns0:v>2151</ns0:v>
      </ns0:c>
      <ns0:c r="G205" s="2" t="s">
        <ns0:v>2040</ns0:v>
      </ns0:c>
      <ns0:c r="H205" s="2"/>
      <ns0:c r="I205" s="2" t="s">
        <ns0:v>2679</ns0:v>
      </ns0:c>
      <ns0:c r="J205" s="2" t="s">
        <ns0:v>2680</ns0:v>
      </ns0:c>
      <ns0:c r="K205" s="2" t="s">
        <ns0:v>2681</ns0:v>
      </ns0:c>
      <ns0:c r="L205" s="2" t="s">
        <ns0:v>2035</ns0:v>
      </ns0:c>
      <ns0:c r="M205" s="5" t="s">
        <ns0:v>1185</ns0:v>
      </ns0:c>
      <ns0:c r="N205" s="7" t="s">
        <ns0:v>1186</ns0:v>
      </ns0:c>
      <ns0:c r="O205" s="7" t="s">
        <ns0:v>1188</ns0:v>
      </ns0:c>
      <ns0:c r="P205" s="7" t="s">
        <ns0:v>2036</ns0:v>
      </ns0:c>
      <ns0:c r="Q205" s="7" t="s">
        <ns0:v>2376</ns0:v>
      </ns0:c>
      <ns0:c r="R205" s="7" t="s">
        <ns0:v>1991</ns0:v>
      </ns0:c>
      <ns0:c r="S205" s="73" t="str">
        <ns0:v>料理×婚約破棄からの解放×異文化の食改善×料理好きで前向きな令嬢×人間不信から溺愛へ変わる皇子</ns0:v>
      </ns0:c>
      <ns0:c r="T205" s="72" t="str">
        <ns0:v>王妃教育から離れ、自由に料理できることを喜ぶ。</ns0:v>
      </ns0:c>
      <ns0:c r="U205" s="72" t="str">
        <ns0:v>皇子は人間不信で恐れられるが、食事を通じ溺愛へ変わる。</ns0:v>
      </ns0:c>
      <ns0:c r="V205" s="72" t="str">
        <ns0:v>本人の趣味の解放が、恐れられる相手の安心と親密さを生み、必要とされる居場所になる。</ns0:v>
      </ns0:c>
      <ns0:c r="W205" s="72" t="str">
        <ns0:v>温かな食事の癒しと自分にだけ心を開く特別感。</ns0:v>
      </ns0:c>
      <ns0:c r="X205" s="72" t="str">
        <ns0:v>毎食の要求と愛情の変化、精霊や地域への波及を予告。</ns0:v>
      </ns0:c>
      <ns0:c r="Y205" s="74" t="str">
        <ns0:v>狂犬は異名、人間不信と溺愛の変化は紹介文に明記。</ns0:v>
      </ns0:c>
    </ns0:row>
  </ns0:sheetData>
  <ns0:mergeCells count="8">
    <ns0:mergeCell ref="A1:G1"/>
    <ns0:mergeCell ref="A2:G2"/>
    <ns0:mergeCell ref="A3:G3"/>
    <ns0:mergeCell ref="A4:G4"/>
    <ns0:mergeCell ref="S1:Y1"/>
    <ns0:mergeCell ref="S2:Y2"/>
    <ns0:mergeCell ref="S3:Y3"/>
    <ns0:mergeCell ref="S4:Y4"/>
  </ns0:mergeCells>
  <ns0:phoneticPr fontId="10"/>
  <ns0:pageMargins left="0.7" right="0.7" top="0.75" bottom="0.75" header="0.3" footer="0.3"/>
  <ns0:tableParts count="1">
    <ns0:tablePart ns3:id="rId1"/>
  </ns0:tableParts>
</ns0:worksheet>
</file>

<file path=xl/worksheets/sheet11.xml><?xml version="1.0" encoding="utf-8"?>
<ns0:worksheet xmlns:ns0="http://schemas.openxmlformats.org/spreadsheetml/2006/main" xmlns:ns1="http://schemas.openxmlformats.org/markup-compatibility/2006" xmlns:ns2="http://schemas.microsoft.com/office/spreadsheetml/2014/revision"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A00-000000000000}">
  <ns0:sheetPr>
    <ns0:tabColor rgb="FF203B56"/>
  </ns0:sheetPr>
  <ns0:dimension ref="A1:H103"/>
  <ns0:sheetViews>
    <ns0:sheetView showGridLines="0" workbookViewId="0">
      <ns0:pane ySplit="8" topLeftCell="A9" activePane="bottomLeft" state="frozen"/>
      <ns0:selection pane="bottomLeft" sqref="A1:H1"/>
    </ns0:sheetView>
  </ns0:sheetViews>
  <ns0:sheetFormatPr defaultRowHeight="13.2"/>
  <ns0:cols>
    <ns0:col min="1" max="1" width="29" customWidth="1"/>
    <ns0:col min="2" max="2" width="17.77734375" customWidth="1"/>
    <ns0:col min="3" max="4" width="11" customWidth="1"/>
    <ns0:col min="5" max="5" width="10.21875" customWidth="1"/>
    <ns0:col min="6" max="7" width="13.44140625" customWidth="1"/>
    <ns0:col min="8" max="8" width="12" customWidth="1"/>
  </ns0:cols>
  <ns0:sheetData>
    <ns0:row r="1" spans="1:8" ht="34.950000000000003" customHeight="1">
      <ns0:c r="A1" s="20" t="s">
        <ns0:v>2682</ns0:v>
      </ns0:c>
      <ns0:c r="B1" s="20" t="s">
        <ns0:v>2682</ns0:v>
      </ns0:c>
      <ns0:c r="C1" s="20" t="s">
        <ns0:v>2682</ns0:v>
      </ns0:c>
      <ns0:c r="D1" s="20" t="s">
        <ns0:v>2682</ns0:v>
      </ns0:c>
      <ns0:c r="E1" s="20" t="s">
        <ns0:v>2682</ns0:v>
      </ns0:c>
      <ns0:c r="F1" s="20" t="s">
        <ns0:v>2682</ns0:v>
      </ns0:c>
      <ns0:c r="G1" s="20" t="s">
        <ns0:v>2682</ns0:v>
      </ns0:c>
      <ns0:c r="H1" s="20" t="s">
        <ns0:v>2682</ns0:v>
      </ns0:c>
    </ns0:row>
    <ns0:row r="2" spans="1:8" ht="30" customHeight="1">
      <ns0:c r="A2" s="21" t="s">
        <ns0:v>2683</ns0:v>
      </ns0:c>
      <ns0:c r="B2" s="21" t="s">
        <ns0:v>2683</ns0:v>
      </ns0:c>
      <ns0:c r="C2" s="21" t="s">
        <ns0:v>2683</ns0:v>
      </ns0:c>
      <ns0:c r="D2" s="21" t="s">
        <ns0:v>2683</ns0:v>
      </ns0:c>
      <ns0:c r="E2" s="21" t="s">
        <ns0:v>2683</ns0:v>
      </ns0:c>
      <ns0:c r="F2" s="21" t="s">
        <ns0:v>2683</ns0:v>
      </ns0:c>
      <ns0:c r="G2" s="21" t="s">
        <ns0:v>2683</ns0:v>
      </ns0:c>
      <ns0:c r="H2" s="21" t="s">
        <ns0:v>2683</ns0:v>
      </ns0:c>
    </ns0:row>
    <ns0:row r="3" spans="1:8" ht="30" customHeight="1">
      <ns0:c r="A3" s="21" t="s">
        <ns0:v>2684</ns0:v>
      </ns0:c>
      <ns0:c r="B3" s="21" t="s">
        <ns0:v>2684</ns0:v>
      </ns0:c>
      <ns0:c r="C3" s="21" t="s">
        <ns0:v>2684</ns0:v>
      </ns0:c>
      <ns0:c r="D3" s="21" t="s">
        <ns0:v>2684</ns0:v>
      </ns0:c>
      <ns0:c r="E3" s="21" t="s">
        <ns0:v>2684</ns0:v>
      </ns0:c>
      <ns0:c r="F3" s="21" t="s">
        <ns0:v>2684</ns0:v>
      </ns0:c>
      <ns0:c r="G3" s="21" t="s">
        <ns0:v>2684</ns0:v>
      </ns0:c>
      <ns0:c r="H3" s="21" t="s">
        <ns0:v>2684</ns0:v>
      </ns0:c>
    </ns0:row>
    <ns0:row r="4" spans="1:8" ht="30" customHeight="1">
      <ns0:c r="A4" s="21" t="s">
        <ns0:v>2685</ns0:v>
      </ns0:c>
      <ns0:c r="B4" s="21" t="s">
        <ns0:v>2685</ns0:v>
      </ns0:c>
      <ns0:c r="C4" s="21" t="s">
        <ns0:v>2685</ns0:v>
      </ns0:c>
      <ns0:c r="D4" s="21" t="s">
        <ns0:v>2685</ns0:v>
      </ns0:c>
      <ns0:c r="E4" s="21" t="s">
        <ns0:v>2685</ns0:v>
      </ns0:c>
      <ns0:c r="F4" s="21" t="s">
        <ns0:v>2685</ns0:v>
      </ns0:c>
      <ns0:c r="G4" s="21" t="s">
        <ns0:v>2685</ns0:v>
      </ns0:c>
      <ns0:c r="H4" s="21" t="s">
        <ns0:v>2685</ns0:v>
      </ns0:c>
    </ns0:row>
    <ns0:row r="5" spans="1:8" ht="30" customHeight="1">
      <ns0:c r="A5" s="21" t="s">
        <ns0:v>2686</ns0:v>
      </ns0:c>
      <ns0:c r="B5" s="21" t="s">
        <ns0:v>2686</ns0:v>
      </ns0:c>
      <ns0:c r="C5" s="21" t="s">
        <ns0:v>2686</ns0:v>
      </ns0:c>
      <ns0:c r="D5" s="21" t="s">
        <ns0:v>2686</ns0:v>
      </ns0:c>
      <ns0:c r="E5" s="21" t="s">
        <ns0:v>2686</ns0:v>
      </ns0:c>
      <ns0:c r="F5" s="21" t="s">
        <ns0:v>2686</ns0:v>
      </ns0:c>
      <ns0:c r="G5" s="21" t="s">
        <ns0:v>2686</ns0:v>
      </ns0:c>
      <ns0:c r="H5" s="21" t="s">
        <ns0:v>2686</ns0:v>
      </ns0:c>
    </ns0:row>
    <ns0:row r="6" spans="1:8" ht="31.95" customHeight="1">
      <ns0:c r="A6" s="22" t="str">
        <ns0:f>"対象 "&amp;COUNTA(作品ベース分類!$R$6:$R$205)&amp;"作品"</ns0:f>
        <ns0:v>対象 200作品</ns0:v>
      </ns0:c>
      <ns0:c r="B6" s="22"/>
      <ns0:c r="C6" s="22" t="str">
        <ns0:f>"追加候補を含む "&amp;(COUNTIF(作品ベース分類!$G$6:$G$205,"追加候補が中心")+COUNTIF(作品ベース分類!$G$6:$G$205,"既存＋追加候補"))&amp;"作品"</ns0:f>
        <ns0:v>追加候補を含む 54作品</ns0:v>
      </ns0:c>
      <ns0:c r="D6" s="22"/>
      <ns0:c r="E6" s="22"/>
      <ns0:c r="F6" s="22" t="str">
        <ns0:f>"情報不足で保留 "&amp;COUNTIF(作品ベース分類!$D$6:$D$205,"判定保留")&amp;"作品"</ns0:f>
        <ns0:v>情報不足で保留 3作品</ns0:v>
      </ns0:c>
      <ns0:c r="G6" s="22"/>
      <ns0:c r="H6" s="22"/>
    </ns0:row>
    <ns0:row r="7" spans="1:8" ht="18">
      <ns0:c r="A7" s="3"/>
      <ns0:c r="B7" s="3"/>
      <ns0:c r="C7" s="3"/>
      <ns0:c r="D7" s="3"/>
      <ns0:c r="E7" s="3"/>
      <ns0:c r="F7" s="3"/>
      <ns0:c r="G7" s="3"/>
      <ns0:c r="H7" s="3"/>
    </ns0:row>
    <ns0:row r="8" spans="1:8" ht="42" customHeight="1">
      <ns0:c r="A8" s="8" t="s">
        <ns0:v>2687</ns0:v>
      </ns0:c>
      <ns0:c r="B8" s="8" t="s">
        <ns0:v>2688</ns0:v>
      </ns0:c>
      <ns0:c r="C8" s="8" t="s">
        <ns0:v>2689</ns0:v>
      </ns0:c>
      <ns0:c r="D8" s="8" t="s">
        <ns0:v>2690</ns0:v>
      </ns0:c>
      <ns0:c r="E8" s="8" t="s">
        <ns0:v>2691</ns0:v>
      </ns0:c>
      <ns0:c r="F8" s="8" t="s">
        <ns0:v>2692</ns0:v>
      </ns0:c>
      <ns0:c r="G8" s="8" t="s">
        <ns0:v>2693</ns0:v>
      </ns0:c>
      <ns0:c r="H8" s="8" t="s">
        <ns0:v>2694</ns0:v>
      </ns0:c>
    </ns0:row>
    <ns0:row r="9" spans="1:8" ht="37.950000000000003" customHeight="1">
      <ns0:c r="A9" s="3" t="s">
        <ns0:v>2044</ns0:v>
      </ns0:c>
      <ns0:c r="B9" s="3" t="s">
        <ns0:v>2695</ns0:v>
      </ns0:c>
      <ns0:c r="C9" s="13">
        <ns0:f>COUNTIFS(作品ベース分類!$D$6:$D$205,$A9,作品ベース分類!$A$6:$A$205,"現代ファンタジー")</ns0:f>
        <ns0:v>16</ns0:v>
      </ns0:c>
      <ns0:c r="D9" s="13">
        <ns0:f>COUNTIFS(作品ベース分類!$D$6:$D$205,$A9,作品ベース分類!$A$6:$A$205,"異世界ファンタジー")</ns0:f>
        <ns0:v>8</ns0:v>
      </ns0:c>
      <ns0:c r="E9" s="13">
        <ns0:f t="shared" ref="E9:E41" si="0">SUM(C9:D9)</ns0:f>
        <ns0:v>24</ns0:v>
      </ns0:c>
      <ns0:c r="F9" s="13">
        <ns0:f>COUNTIFS(作品ベース分類!$D$6:$D$205,$A9,作品ベース分類!$A$6:$A$205,"現代ファンタジー")+COUNTIFS(作品ベース分類!$E$6:$E$205,$A9,作品ベース分類!$A$6:$A$205,"現代ファンタジー")+COUNTIFS(作品ベース分類!$F$6:$F$205,$A9,作品ベース分類!$A$6:$A$205,"現代ファンタジー")</ns0:f>
        <ns0:v>39</ns0:v>
      </ns0:c>
      <ns0:c r="G9" s="13">
        <ns0:f>COUNTIFS(作品ベース分類!$D$6:$D$205,$A9,作品ベース分類!$A$6:$A$205,"異世界ファンタジー")+COUNTIFS(作品ベース分類!$E$6:$E$205,$A9,作品ベース分類!$A$6:$A$205,"異世界ファンタジー")+COUNTIFS(作品ベース分類!$F$6:$F$205,$A9,作品ベース分類!$A$6:$A$205,"異世界ファンタジー")</ns0:f>
        <ns0:v>20</ns0:v>
      </ns0:c>
      <ns0:c r="H9" s="13">
        <ns0:f t="shared" ref="H9:H41" si="1">SUM(F9:G9)</ns0:f>
        <ns0:v>59</ns0:v>
      </ns0:c>
    </ns0:row>
    <ns0:row r="10" spans="1:8" ht="37.950000000000003" customHeight="1">
      <ns0:c r="A10" s="12" t="s">
        <ns0:v>2101</ns0:v>
      </ns0:c>
      <ns0:c r="B10" s="12" t="s">
        <ns0:v>2695</ns0:v>
      </ns0:c>
      <ns0:c r="C10" s="14">
        <ns0:f>COUNTIFS(作品ベース分類!$D$6:$D$205,$A10,作品ベース分類!$A$6:$A$205,"現代ファンタジー")</ns0:f>
        <ns0:v>1</ns0:v>
      </ns0:c>
      <ns0:c r="D10" s="14">
        <ns0:f>COUNTIFS(作品ベース分類!$D$6:$D$205,$A10,作品ベース分類!$A$6:$A$205,"異世界ファンタジー")</ns0:f>
        <ns0:v>0</ns0:v>
      </ns0:c>
      <ns0:c r="E10" s="14">
        <ns0:f t="shared" si="0"/>
        <ns0:v>1</ns0:v>
      </ns0:c>
      <ns0:c r="F10" s="14">
        <ns0:f>COUNTIFS(作品ベース分類!$D$6:$D$205,$A10,作品ベース分類!$A$6:$A$205,"現代ファンタジー")+COUNTIFS(作品ベース分類!$E$6:$E$205,$A10,作品ベース分類!$A$6:$A$205,"現代ファンタジー")+COUNTIFS(作品ベース分類!$F$6:$F$205,$A10,作品ベース分類!$A$6:$A$205,"現代ファンタジー")</ns0:f>
        <ns0:v>2</ns0:v>
      </ns0:c>
      <ns0:c r="G10" s="14">
        <ns0:f>COUNTIFS(作品ベース分類!$D$6:$D$205,$A10,作品ベース分類!$A$6:$A$205,"異世界ファンタジー")+COUNTIFS(作品ベース分類!$E$6:$E$205,$A10,作品ベース分類!$A$6:$A$205,"異世界ファンタジー")+COUNTIFS(作品ベース分類!$F$6:$F$205,$A10,作品ベース分類!$A$6:$A$205,"異世界ファンタジー")</ns0:f>
        <ns0:v>0</ns0:v>
      </ns0:c>
      <ns0:c r="H10" s="14">
        <ns0:f t="shared" si="1"/>
        <ns0:v>2</ns0:v>
      </ns0:c>
    </ns0:row>
    <ns0:row r="11" spans="1:8" ht="37.950000000000003" customHeight="1">
      <ns0:c r="A11" s="3" t="s">
        <ns0:v>2407</ns0:v>
      </ns0:c>
      <ns0:c r="B11" s="3" t="s">
        <ns0:v>2695</ns0:v>
      </ns0:c>
      <ns0:c r="C11" s="13">
        <ns0:f>COUNTIFS(作品ベース分類!$D$6:$D$205,$A11,作品ベース分類!$A$6:$A$205,"現代ファンタジー")</ns0:f>
        <ns0:v>0</ns0:v>
      </ns0:c>
      <ns0:c r="D11" s="13">
        <ns0:f>COUNTIFS(作品ベース分類!$D$6:$D$205,$A11,作品ベース分類!$A$6:$A$205,"異世界ファンタジー")</ns0:f>
        <ns0:v>1</ns0:v>
      </ns0:c>
      <ns0:c r="E11" s="13">
        <ns0:f t="shared" si="0"/>
        <ns0:v>1</ns0:v>
      </ns0:c>
      <ns0:c r="F11" s="13">
        <ns0:f>COUNTIFS(作品ベース分類!$D$6:$D$205,$A11,作品ベース分類!$A$6:$A$205,"現代ファンタジー")+COUNTIFS(作品ベース分類!$E$6:$E$205,$A11,作品ベース分類!$A$6:$A$205,"現代ファンタジー")+COUNTIFS(作品ベース分類!$F$6:$F$205,$A11,作品ベース分類!$A$6:$A$205,"現代ファンタジー")</ns0:f>
        <ns0:v>0</ns0:v>
      </ns0:c>
      <ns0:c r="G11" s="13">
        <ns0:f>COUNTIFS(作品ベース分類!$D$6:$D$205,$A11,作品ベース分類!$A$6:$A$205,"異世界ファンタジー")+COUNTIFS(作品ベース分類!$E$6:$E$205,$A11,作品ベース分類!$A$6:$A$205,"異世界ファンタジー")+COUNTIFS(作品ベース分類!$F$6:$F$205,$A11,作品ベース分類!$A$6:$A$205,"異世界ファンタジー")</ns0:f>
        <ns0:v>3</ns0:v>
      </ns0:c>
      <ns0:c r="H11" s="13">
        <ns0:f t="shared" si="1"/>
        <ns0:v>3</ns0:v>
      </ns0:c>
    </ns0:row>
    <ns0:row r="12" spans="1:8" ht="37.950000000000003" customHeight="1">
      <ns0:c r="A12" s="12" t="s">
        <ns0:v>2038</ns0:v>
      </ns0:c>
      <ns0:c r="B12" s="12" t="s">
        <ns0:v>2695</ns0:v>
      </ns0:c>
      <ns0:c r="C12" s="14">
        <ns0:f>COUNTIFS(作品ベース分類!$D$6:$D$205,$A12,作品ベース分類!$A$6:$A$205,"現代ファンタジー")</ns0:f>
        <ns0:v>3</ns0:v>
      </ns0:c>
      <ns0:c r="D12" s="14">
        <ns0:f>COUNTIFS(作品ベース分類!$D$6:$D$205,$A12,作品ベース分類!$A$6:$A$205,"異世界ファンタジー")</ns0:f>
        <ns0:v>11</ns0:v>
      </ns0:c>
      <ns0:c r="E12" s="14">
        <ns0:f t="shared" si="0"/>
        <ns0:v>14</ns0:v>
      </ns0:c>
      <ns0:c r="F12" s="14">
        <ns0:f>COUNTIFS(作品ベース分類!$D$6:$D$205,$A12,作品ベース分類!$A$6:$A$205,"現代ファンタジー")+COUNTIFS(作品ベース分類!$E$6:$E$205,$A12,作品ベース分類!$A$6:$A$205,"現代ファンタジー")+COUNTIFS(作品ベース分類!$F$6:$F$205,$A12,作品ベース分類!$A$6:$A$205,"現代ファンタジー")</ns0:f>
        <ns0:v>5</ns0:v>
      </ns0:c>
      <ns0:c r="G12" s="14">
        <ns0:f>COUNTIFS(作品ベース分類!$D$6:$D$205,$A12,作品ベース分類!$A$6:$A$205,"異世界ファンタジー")+COUNTIFS(作品ベース分類!$E$6:$E$205,$A12,作品ベース分類!$A$6:$A$205,"異世界ファンタジー")+COUNTIFS(作品ベース分類!$F$6:$F$205,$A12,作品ベース分類!$A$6:$A$205,"異世界ファンタジー")</ns0:f>
        <ns0:v>14</ns0:v>
      </ns0:c>
      <ns0:c r="H12" s="14">
        <ns0:f t="shared" si="1"/>
        <ns0:v>19</ns0:v>
      </ns0:c>
    </ns0:row>
    <ns0:row r="13" spans="1:8" ht="37.950000000000003" customHeight="1">
      <ns0:c r="A13" s="3" t="s">
        <ns0:v>2073</ns0:v>
      </ns0:c>
      <ns0:c r="B13" s="3" t="s">
        <ns0:v>2695</ns0:v>
      </ns0:c>
      <ns0:c r="C13" s="13">
        <ns0:f>COUNTIFS(作品ベース分類!$D$6:$D$205,$A13,作品ベース分類!$A$6:$A$205,"現代ファンタジー")</ns0:f>
        <ns0:v>3</ns0:v>
      </ns0:c>
      <ns0:c r="D13" s="13">
        <ns0:f>COUNTIFS(作品ベース分類!$D$6:$D$205,$A13,作品ベース分類!$A$6:$A$205,"異世界ファンタジー")</ns0:f>
        <ns0:v>3</ns0:v>
      </ns0:c>
      <ns0:c r="E13" s="13">
        <ns0:f t="shared" si="0"/>
        <ns0:v>6</ns0:v>
      </ns0:c>
      <ns0:c r="F13" s="13">
        <ns0:f>COUNTIFS(作品ベース分類!$D$6:$D$205,$A13,作品ベース分類!$A$6:$A$205,"現代ファンタジー")+COUNTIFS(作品ベース分類!$E$6:$E$205,$A13,作品ベース分類!$A$6:$A$205,"現代ファンタジー")+COUNTIFS(作品ベース分類!$F$6:$F$205,$A13,作品ベース分類!$A$6:$A$205,"現代ファンタジー")</ns0:f>
        <ns0:v>4</ns0:v>
      </ns0:c>
      <ns0:c r="G13" s="13">
        <ns0:f>COUNTIFS(作品ベース分類!$D$6:$D$205,$A13,作品ベース分類!$A$6:$A$205,"異世界ファンタジー")+COUNTIFS(作品ベース分類!$E$6:$E$205,$A13,作品ベース分類!$A$6:$A$205,"異世界ファンタジー")+COUNTIFS(作品ベース分類!$F$6:$F$205,$A13,作品ベース分類!$A$6:$A$205,"異世界ファンタジー")</ns0:f>
        <ns0:v>4</ns0:v>
      </ns0:c>
      <ns0:c r="H13" s="13">
        <ns0:f t="shared" si="1"/>
        <ns0:v>8</ns0:v>
      </ns0:c>
    </ns0:row>
    <ns0:row r="14" spans="1:8" ht="37.950000000000003" customHeight="1">
      <ns0:c r="A14" s="12" t="s">
        <ns0:v>2030</ns0:v>
      </ns0:c>
      <ns0:c r="B14" s="12" t="s">
        <ns0:v>2695</ns0:v>
      </ns0:c>
      <ns0:c r="C14" s="14">
        <ns0:f>COUNTIFS(作品ベース分類!$D$6:$D$205,$A14,作品ベース分類!$A$6:$A$205,"現代ファンタジー")</ns0:f>
        <ns0:v>8</ns0:v>
      </ns0:c>
      <ns0:c r="D14" s="14">
        <ns0:f>COUNTIFS(作品ベース分類!$D$6:$D$205,$A14,作品ベース分類!$A$6:$A$205,"異世界ファンタジー")</ns0:f>
        <ns0:v>10</ns0:v>
      </ns0:c>
      <ns0:c r="E14" s="14">
        <ns0:f t="shared" si="0"/>
        <ns0:v>18</ns0:v>
      </ns0:c>
      <ns0:c r="F14" s="14">
        <ns0:f>COUNTIFS(作品ベース分類!$D$6:$D$205,$A14,作品ベース分類!$A$6:$A$205,"現代ファンタジー")+COUNTIFS(作品ベース分類!$E$6:$E$205,$A14,作品ベース分類!$A$6:$A$205,"現代ファンタジー")+COUNTIFS(作品ベース分類!$F$6:$F$205,$A14,作品ベース分類!$A$6:$A$205,"現代ファンタジー")</ns0:f>
        <ns0:v>21</ns0:v>
      </ns0:c>
      <ns0:c r="G14" s="14">
        <ns0:f>COUNTIFS(作品ベース分類!$D$6:$D$205,$A14,作品ベース分類!$A$6:$A$205,"異世界ファンタジー")+COUNTIFS(作品ベース分類!$E$6:$E$205,$A14,作品ベース分類!$A$6:$A$205,"異世界ファンタジー")+COUNTIFS(作品ベース分類!$F$6:$F$205,$A14,作品ベース分類!$A$6:$A$205,"異世界ファンタジー")</ns0:f>
        <ns0:v>17</ns0:v>
      </ns0:c>
      <ns0:c r="H14" s="14">
        <ns0:f t="shared" si="1"/>
        <ns0:v>38</ns0:v>
      </ns0:c>
    </ns0:row>
    <ns0:row r="15" spans="1:8" ht="37.950000000000003" customHeight="1">
      <ns0:c r="A15" s="3" t="s">
        <ns0:v>2050</ns0:v>
      </ns0:c>
      <ns0:c r="B15" s="3" t="s">
        <ns0:v>2695</ns0:v>
      </ns0:c>
      <ns0:c r="C15" s="13">
        <ns0:f>COUNTIFS(作品ベース分類!$D$6:$D$205,$A15,作品ベース分類!$A$6:$A$205,"現代ファンタジー")</ns0:f>
        <ns0:v>6</ns0:v>
      </ns0:c>
      <ns0:c r="D15" s="13">
        <ns0:f>COUNTIFS(作品ベース分類!$D$6:$D$205,$A15,作品ベース分類!$A$6:$A$205,"異世界ファンタジー")</ns0:f>
        <ns0:v>2</ns0:v>
      </ns0:c>
      <ns0:c r="E15" s="13">
        <ns0:f t="shared" si="0"/>
        <ns0:v>8</ns0:v>
      </ns0:c>
      <ns0:c r="F15" s="13">
        <ns0:f>COUNTIFS(作品ベース分類!$D$6:$D$205,$A15,作品ベース分類!$A$6:$A$205,"現代ファンタジー")+COUNTIFS(作品ベース分類!$E$6:$E$205,$A15,作品ベース分類!$A$6:$A$205,"現代ファンタジー")+COUNTIFS(作品ベース分類!$F$6:$F$205,$A15,作品ベース分類!$A$6:$A$205,"現代ファンタジー")</ns0:f>
        <ns0:v>22</ns0:v>
      </ns0:c>
      <ns0:c r="G15" s="13">
        <ns0:f>COUNTIFS(作品ベース分類!$D$6:$D$205,$A15,作品ベース分類!$A$6:$A$205,"異世界ファンタジー")+COUNTIFS(作品ベース分類!$E$6:$E$205,$A15,作品ベース分類!$A$6:$A$205,"異世界ファンタジー")+COUNTIFS(作品ベース分類!$F$6:$F$205,$A15,作品ベース分類!$A$6:$A$205,"異世界ファンタジー")</ns0:f>
        <ns0:v>9</ns0:v>
      </ns0:c>
      <ns0:c r="H15" s="13">
        <ns0:f t="shared" si="1"/>
        <ns0:v>31</ns0:v>
      </ns0:c>
    </ns0:row>
    <ns0:row r="16" spans="1:8" ht="37.950000000000003" customHeight="1">
      <ns0:c r="A16" s="12" t="s">
        <ns0:v>2138</ns0:v>
      </ns0:c>
      <ns0:c r="B16" s="12" t="s">
        <ns0:v>2695</ns0:v>
      </ns0:c>
      <ns0:c r="C16" s="14">
        <ns0:f>COUNTIFS(作品ベース分類!$D$6:$D$205,$A16,作品ベース分類!$A$6:$A$205,"現代ファンタジー")</ns0:f>
        <ns0:v>0</ns0:v>
      </ns0:c>
      <ns0:c r="D16" s="14">
        <ns0:f>COUNTIFS(作品ベース分類!$D$6:$D$205,$A16,作品ベース分類!$A$6:$A$205,"異世界ファンタジー")</ns0:f>
        <ns0:v>1</ns0:v>
      </ns0:c>
      <ns0:c r="E16" s="14">
        <ns0:f t="shared" si="0"/>
        <ns0:v>1</ns0:v>
      </ns0:c>
      <ns0:c r="F16" s="14">
        <ns0:f>COUNTIFS(作品ベース分類!$D$6:$D$205,$A16,作品ベース分類!$A$6:$A$205,"現代ファンタジー")+COUNTIFS(作品ベース分類!$E$6:$E$205,$A16,作品ベース分類!$A$6:$A$205,"現代ファンタジー")+COUNTIFS(作品ベース分類!$F$6:$F$205,$A16,作品ベース分類!$A$6:$A$205,"現代ファンタジー")</ns0:f>
        <ns0:v>2</ns0:v>
      </ns0:c>
      <ns0:c r="G16" s="14">
        <ns0:f>COUNTIFS(作品ベース分類!$D$6:$D$205,$A16,作品ベース分類!$A$6:$A$205,"異世界ファンタジー")+COUNTIFS(作品ベース分類!$E$6:$E$205,$A16,作品ベース分類!$A$6:$A$205,"異世界ファンタジー")+COUNTIFS(作品ベース分類!$F$6:$F$205,$A16,作品ベース分類!$A$6:$A$205,"異世界ファンタジー")</ns0:f>
        <ns0:v>4</ns0:v>
      </ns0:c>
      <ns0:c r="H16" s="14">
        <ns0:f t="shared" si="1"/>
        <ns0:v>6</ns0:v>
      </ns0:c>
    </ns0:row>
    <ns0:row r="17" spans="1:8" ht="37.950000000000003" customHeight="1">
      <ns0:c r="A17" s="3" t="s">
        <ns0:v>2572</ns0:v>
      </ns0:c>
      <ns0:c r="B17" s="3" t="s">
        <ns0:v>2695</ns0:v>
      </ns0:c>
      <ns0:c r="C17" s="13">
        <ns0:f>COUNTIFS(作品ベース分類!$D$6:$D$205,$A17,作品ベース分類!$A$6:$A$205,"現代ファンタジー")</ns0:f>
        <ns0:v>0</ns0:v>
      </ns0:c>
      <ns0:c r="D17" s="13">
        <ns0:f>COUNTIFS(作品ベース分類!$D$6:$D$205,$A17,作品ベース分類!$A$6:$A$205,"異世界ファンタジー")</ns0:f>
        <ns0:v>1</ns0:v>
      </ns0:c>
      <ns0:c r="E17" s="13">
        <ns0:f t="shared" si="0"/>
        <ns0:v>1</ns0:v>
      </ns0:c>
      <ns0:c r="F17" s="13">
        <ns0:f>COUNTIFS(作品ベース分類!$D$6:$D$205,$A17,作品ベース分類!$A$6:$A$205,"現代ファンタジー")+COUNTIFS(作品ベース分類!$E$6:$E$205,$A17,作品ベース分類!$A$6:$A$205,"現代ファンタジー")+COUNTIFS(作品ベース分類!$F$6:$F$205,$A17,作品ベース分類!$A$6:$A$205,"現代ファンタジー")</ns0:f>
        <ns0:v>0</ns0:v>
      </ns0:c>
      <ns0:c r="G17" s="13">
        <ns0:f>COUNTIFS(作品ベース分類!$D$6:$D$205,$A17,作品ベース分類!$A$6:$A$205,"異世界ファンタジー")+COUNTIFS(作品ベース分類!$E$6:$E$205,$A17,作品ベース分類!$A$6:$A$205,"異世界ファンタジー")+COUNTIFS(作品ベース分類!$F$6:$F$205,$A17,作品ベース分類!$A$6:$A$205,"異世界ファンタジー")</ns0:f>
        <ns0:v>1</ns0:v>
      </ns0:c>
      <ns0:c r="H17" s="13">
        <ns0:f t="shared" si="1"/>
        <ns0:v>1</ns0:v>
      </ns0:c>
    </ns0:row>
    <ns0:row r="18" spans="1:8" ht="37.950000000000003" customHeight="1">
      <ns0:c r="A18" s="12" t="s">
        <ns0:v>2174</ns0:v>
      </ns0:c>
      <ns0:c r="B18" s="12" t="s">
        <ns0:v>2695</ns0:v>
      </ns0:c>
      <ns0:c r="C18" s="14">
        <ns0:f>COUNTIFS(作品ベース分類!$D$6:$D$205,$A18,作品ベース分類!$A$6:$A$205,"現代ファンタジー")</ns0:f>
        <ns0:v>0</ns0:v>
      </ns0:c>
      <ns0:c r="D18" s="14">
        <ns0:f>COUNTIFS(作品ベース分類!$D$6:$D$205,$A18,作品ベース分類!$A$6:$A$205,"異世界ファンタジー")</ns0:f>
        <ns0:v>1</ns0:v>
      </ns0:c>
      <ns0:c r="E18" s="14">
        <ns0:f t="shared" si="0"/>
        <ns0:v>1</ns0:v>
      </ns0:c>
      <ns0:c r="F18" s="14">
        <ns0:f>COUNTIFS(作品ベース分類!$D$6:$D$205,$A18,作品ベース分類!$A$6:$A$205,"現代ファンタジー")+COUNTIFS(作品ベース分類!$E$6:$E$205,$A18,作品ベース分類!$A$6:$A$205,"現代ファンタジー")+COUNTIFS(作品ベース分類!$F$6:$F$205,$A18,作品ベース分類!$A$6:$A$205,"現代ファンタジー")</ns0:f>
        <ns0:v>1</ns0:v>
      </ns0:c>
      <ns0:c r="G18" s="14">
        <ns0:f>COUNTIFS(作品ベース分類!$D$6:$D$205,$A18,作品ベース分類!$A$6:$A$205,"異世界ファンタジー")+COUNTIFS(作品ベース分類!$E$6:$E$205,$A18,作品ベース分類!$A$6:$A$205,"異世界ファンタジー")+COUNTIFS(作品ベース分類!$F$6:$F$205,$A18,作品ベース分類!$A$6:$A$205,"異世界ファンタジー")</ns0:f>
        <ns0:v>3</ns0:v>
      </ns0:c>
      <ns0:c r="H18" s="14">
        <ns0:f t="shared" si="1"/>
        <ns0:v>4</ns0:v>
      </ns0:c>
    </ns0:row>
    <ns0:row r="19" spans="1:8" ht="37.950000000000003" customHeight="1">
      <ns0:c r="A19" s="3" t="s">
        <ns0:v>2048</ns0:v>
      </ns0:c>
      <ns0:c r="B19" s="3" t="s">
        <ns0:v>2695</ns0:v>
      </ns0:c>
      <ns0:c r="C19" s="13">
        <ns0:f>COUNTIFS(作品ベース分類!$D$6:$D$205,$A19,作品ベース分類!$A$6:$A$205,"現代ファンタジー")</ns0:f>
        <ns0:v>2</ns0:v>
      </ns0:c>
      <ns0:c r="D19" s="13">
        <ns0:f>COUNTIFS(作品ベース分類!$D$6:$D$205,$A19,作品ベース分類!$A$6:$A$205,"異世界ファンタジー")</ns0:f>
        <ns0:v>1</ns0:v>
      </ns0:c>
      <ns0:c r="E19" s="13">
        <ns0:f t="shared" si="0"/>
        <ns0:v>3</ns0:v>
      </ns0:c>
      <ns0:c r="F19" s="13">
        <ns0:f>COUNTIFS(作品ベース分類!$D$6:$D$205,$A19,作品ベース分類!$A$6:$A$205,"現代ファンタジー")+COUNTIFS(作品ベース分類!$E$6:$E$205,$A19,作品ベース分類!$A$6:$A$205,"現代ファンタジー")+COUNTIFS(作品ベース分類!$F$6:$F$205,$A19,作品ベース分類!$A$6:$A$205,"現代ファンタジー")</ns0:f>
        <ns0:v>3</ns0:v>
      </ns0:c>
      <ns0:c r="G19" s="13">
        <ns0:f>COUNTIFS(作品ベース分類!$D$6:$D$205,$A19,作品ベース分類!$A$6:$A$205,"異世界ファンタジー")+COUNTIFS(作品ベース分類!$E$6:$E$205,$A19,作品ベース分類!$A$6:$A$205,"異世界ファンタジー")+COUNTIFS(作品ベース分類!$F$6:$F$205,$A19,作品ベース分類!$A$6:$A$205,"異世界ファンタジー")</ns0:f>
        <ns0:v>1</ns0:v>
      </ns0:c>
      <ns0:c r="H19" s="13">
        <ns0:f t="shared" si="1"/>
        <ns0:v>4</ns0:v>
      </ns0:c>
    </ns0:row>
    <ns0:row r="20" spans="1:8" ht="37.950000000000003" customHeight="1">
      <ns0:c r="A20" s="12" t="s">
        <ns0:v>2284</ns0:v>
      </ns0:c>
      <ns0:c r="B20" s="12" t="s">
        <ns0:v>2695</ns0:v>
      </ns0:c>
      <ns0:c r="C20" s="14">
        <ns0:f>COUNTIFS(作品ベース分類!$D$6:$D$205,$A20,作品ベース分類!$A$6:$A$205,"現代ファンタジー")</ns0:f>
        <ns0:v>1</ns0:v>
      </ns0:c>
      <ns0:c r="D20" s="14">
        <ns0:f>COUNTIFS(作品ベース分類!$D$6:$D$205,$A20,作品ベース分類!$A$6:$A$205,"異世界ファンタジー")</ns0:f>
        <ns0:v>0</ns0:v>
      </ns0:c>
      <ns0:c r="E20" s="14">
        <ns0:f t="shared" si="0"/>
        <ns0:v>1</ns0:v>
      </ns0:c>
      <ns0:c r="F20" s="14">
        <ns0:f>COUNTIFS(作品ベース分類!$D$6:$D$205,$A20,作品ベース分類!$A$6:$A$205,"現代ファンタジー")+COUNTIFS(作品ベース分類!$E$6:$E$205,$A20,作品ベース分類!$A$6:$A$205,"現代ファンタジー")+COUNTIFS(作品ベース分類!$F$6:$F$205,$A20,作品ベース分類!$A$6:$A$205,"現代ファンタジー")</ns0:f>
        <ns0:v>5</ns0:v>
      </ns0:c>
      <ns0:c r="G20" s="14">
        <ns0:f>COUNTIFS(作品ベース分類!$D$6:$D$205,$A20,作品ベース分類!$A$6:$A$205,"異世界ファンタジー")+COUNTIFS(作品ベース分類!$E$6:$E$205,$A20,作品ベース分類!$A$6:$A$205,"異世界ファンタジー")+COUNTIFS(作品ベース分類!$F$6:$F$205,$A20,作品ベース分類!$A$6:$A$205,"異世界ファンタジー")</ns0:f>
        <ns0:v>2</ns0:v>
      </ns0:c>
      <ns0:c r="H20" s="14">
        <ns0:f t="shared" si="1"/>
        <ns0:v>7</ns0:v>
      </ns0:c>
    </ns0:row>
    <ns0:row r="21" spans="1:8" ht="37.950000000000003" customHeight="1">
      <ns0:c r="A21" s="3" t="s">
        <ns0:v>2054</ns0:v>
      </ns0:c>
      <ns0:c r="B21" s="3" t="s">
        <ns0:v>2695</ns0:v>
      </ns0:c>
      <ns0:c r="C21" s="13">
        <ns0:f>COUNTIFS(作品ベース分類!$D$6:$D$205,$A21,作品ベース分類!$A$6:$A$205,"現代ファンタジー")</ns0:f>
        <ns0:v>9</ns0:v>
      </ns0:c>
      <ns0:c r="D21" s="13">
        <ns0:f>COUNTIFS(作品ベース分類!$D$6:$D$205,$A21,作品ベース分類!$A$6:$A$205,"異世界ファンタジー")</ns0:f>
        <ns0:v>5</ns0:v>
      </ns0:c>
      <ns0:c r="E21" s="13">
        <ns0:f t="shared" si="0"/>
        <ns0:v>14</ns0:v>
      </ns0:c>
      <ns0:c r="F21" s="13">
        <ns0:f>COUNTIFS(作品ベース分類!$D$6:$D$205,$A21,作品ベース分類!$A$6:$A$205,"現代ファンタジー")+COUNTIFS(作品ベース分類!$E$6:$E$205,$A21,作品ベース分類!$A$6:$A$205,"現代ファンタジー")+COUNTIFS(作品ベース分類!$F$6:$F$205,$A21,作品ベース分類!$A$6:$A$205,"現代ファンタジー")</ns0:f>
        <ns0:v>16</ns0:v>
      </ns0:c>
      <ns0:c r="G21" s="13">
        <ns0:f>COUNTIFS(作品ベース分類!$D$6:$D$205,$A21,作品ベース分類!$A$6:$A$205,"異世界ファンタジー")+COUNTIFS(作品ベース分類!$E$6:$E$205,$A21,作品ベース分類!$A$6:$A$205,"異世界ファンタジー")+COUNTIFS(作品ベース分類!$F$6:$F$205,$A21,作品ベース分類!$A$6:$A$205,"異世界ファンタジー")</ns0:f>
        <ns0:v>7</ns0:v>
      </ns0:c>
      <ns0:c r="H21" s="13">
        <ns0:f t="shared" si="1"/>
        <ns0:v>23</ns0:v>
      </ns0:c>
    </ns0:row>
    <ns0:row r="22" spans="1:8" ht="37.950000000000003" customHeight="1">
      <ns0:c r="A22" s="12" t="s">
        <ns0:v>2049</ns0:v>
      </ns0:c>
      <ns0:c r="B22" s="12" t="s">
        <ns0:v>2695</ns0:v>
      </ns0:c>
      <ns0:c r="C22" s="14">
        <ns0:f>COUNTIFS(作品ベース分類!$D$6:$D$205,$A22,作品ベース分類!$A$6:$A$205,"現代ファンタジー")</ns0:f>
        <ns0:v>4</ns0:v>
      </ns0:c>
      <ns0:c r="D22" s="14">
        <ns0:f>COUNTIFS(作品ベース分類!$D$6:$D$205,$A22,作品ベース分類!$A$6:$A$205,"異世界ファンタジー")</ns0:f>
        <ns0:v>4</ns0:v>
      </ns0:c>
      <ns0:c r="E22" s="14">
        <ns0:f t="shared" si="0"/>
        <ns0:v>8</ns0:v>
      </ns0:c>
      <ns0:c r="F22" s="14">
        <ns0:f>COUNTIFS(作品ベース分類!$D$6:$D$205,$A22,作品ベース分類!$A$6:$A$205,"現代ファンタジー")+COUNTIFS(作品ベース分類!$E$6:$E$205,$A22,作品ベース分類!$A$6:$A$205,"現代ファンタジー")+COUNTIFS(作品ベース分類!$F$6:$F$205,$A22,作品ベース分類!$A$6:$A$205,"現代ファンタジー")</ns0:f>
        <ns0:v>11</ns0:v>
      </ns0:c>
      <ns0:c r="G22" s="14">
        <ns0:f>COUNTIFS(作品ベース分類!$D$6:$D$205,$A22,作品ベース分類!$A$6:$A$205,"異世界ファンタジー")+COUNTIFS(作品ベース分類!$E$6:$E$205,$A22,作品ベース分類!$A$6:$A$205,"異世界ファンタジー")+COUNTIFS(作品ベース分類!$F$6:$F$205,$A22,作品ベース分類!$A$6:$A$205,"異世界ファンタジー")</ns0:f>
        <ns0:v>7</ns0:v>
      </ns0:c>
      <ns0:c r="H22" s="14">
        <ns0:f t="shared" si="1"/>
        <ns0:v>18</ns0:v>
      </ns0:c>
    </ns0:row>
    <ns0:row r="23" spans="1:8" ht="37.950000000000003" customHeight="1">
      <ns0:c r="A23" s="3" t="s">
        <ns0:v>2252</ns0:v>
      </ns0:c>
      <ns0:c r="B23" s="3" t="s">
        <ns0:v>2695</ns0:v>
      </ns0:c>
      <ns0:c r="C23" s="13">
        <ns0:f>COUNTIFS(作品ベース分類!$D$6:$D$205,$A23,作品ベース分類!$A$6:$A$205,"現代ファンタジー")</ns0:f>
        <ns0:v>0</ns0:v>
      </ns0:c>
      <ns0:c r="D23" s="13">
        <ns0:f>COUNTIFS(作品ベース分類!$D$6:$D$205,$A23,作品ベース分類!$A$6:$A$205,"異世界ファンタジー")</ns0:f>
        <ns0:v>0</ns0:v>
      </ns0:c>
      <ns0:c r="E23" s="13">
        <ns0:f t="shared" si="0"/>
        <ns0:v>0</ns0:v>
      </ns0:c>
      <ns0:c r="F23" s="13">
        <ns0:f>COUNTIFS(作品ベース分類!$D$6:$D$205,$A23,作品ベース分類!$A$6:$A$205,"現代ファンタジー")+COUNTIFS(作品ベース分類!$E$6:$E$205,$A23,作品ベース分類!$A$6:$A$205,"現代ファンタジー")+COUNTIFS(作品ベース分類!$F$6:$F$205,$A23,作品ベース分類!$A$6:$A$205,"現代ファンタジー")</ns0:f>
        <ns0:v>2</ns0:v>
      </ns0:c>
      <ns0:c r="G23" s="13">
        <ns0:f>COUNTIFS(作品ベース分類!$D$6:$D$205,$A23,作品ベース分類!$A$6:$A$205,"異世界ファンタジー")+COUNTIFS(作品ベース分類!$E$6:$E$205,$A23,作品ベース分類!$A$6:$A$205,"異世界ファンタジー")+COUNTIFS(作品ベース分類!$F$6:$F$205,$A23,作品ベース分類!$A$6:$A$205,"異世界ファンタジー")</ns0:f>
        <ns0:v>1</ns0:v>
      </ns0:c>
      <ns0:c r="H23" s="13">
        <ns0:f t="shared" si="1"/>
        <ns0:v>3</ns0:v>
      </ns0:c>
    </ns0:row>
    <ns0:row r="24" spans="1:8" ht="37.950000000000003" customHeight="1">
      <ns0:c r="A24" s="12" t="s">
        <ns0:v>2117</ns0:v>
      </ns0:c>
      <ns0:c r="B24" s="12" t="s">
        <ns0:v>2695</ns0:v>
      </ns0:c>
      <ns0:c r="C24" s="14">
        <ns0:f>COUNTIFS(作品ベース分類!$D$6:$D$205,$A24,作品ベース分類!$A$6:$A$205,"現代ファンタジー")</ns0:f>
        <ns0:v>2</ns0:v>
      </ns0:c>
      <ns0:c r="D24" s="14">
        <ns0:f>COUNTIFS(作品ベース分類!$D$6:$D$205,$A24,作品ベース分類!$A$6:$A$205,"異世界ファンタジー")</ns0:f>
        <ns0:v>4</ns0:v>
      </ns0:c>
      <ns0:c r="E24" s="14">
        <ns0:f t="shared" si="0"/>
        <ns0:v>6</ns0:v>
      </ns0:c>
      <ns0:c r="F24" s="14">
        <ns0:f>COUNTIFS(作品ベース分類!$D$6:$D$205,$A24,作品ベース分類!$A$6:$A$205,"現代ファンタジー")+COUNTIFS(作品ベース分類!$E$6:$E$205,$A24,作品ベース分類!$A$6:$A$205,"現代ファンタジー")+COUNTIFS(作品ベース分類!$F$6:$F$205,$A24,作品ベース分類!$A$6:$A$205,"現代ファンタジー")</ns0:f>
        <ns0:v>7</ns0:v>
      </ns0:c>
      <ns0:c r="G24" s="14">
        <ns0:f>COUNTIFS(作品ベース分類!$D$6:$D$205,$A24,作品ベース分類!$A$6:$A$205,"異世界ファンタジー")+COUNTIFS(作品ベース分類!$E$6:$E$205,$A24,作品ベース分類!$A$6:$A$205,"異世界ファンタジー")+COUNTIFS(作品ベース分類!$F$6:$F$205,$A24,作品ベース分類!$A$6:$A$205,"異世界ファンタジー")</ns0:f>
        <ns0:v>6</ns0:v>
      </ns0:c>
      <ns0:c r="H24" s="14">
        <ns0:f t="shared" si="1"/>
        <ns0:v>13</ns0:v>
      </ns0:c>
    </ns0:row>
    <ns0:row r="25" spans="1:8" ht="37.950000000000003" customHeight="1">
      <ns0:c r="A25" s="3" t="s">
        <ns0:v>2039</ns0:v>
      </ns0:c>
      <ns0:c r="B25" s="3" t="s">
        <ns0:v>2695</ns0:v>
      </ns0:c>
      <ns0:c r="C25" s="13">
        <ns0:f>COUNTIFS(作品ベース分類!$D$6:$D$205,$A25,作品ベース分類!$A$6:$A$205,"現代ファンタジー")</ns0:f>
        <ns0:v>0</ns0:v>
      </ns0:c>
      <ns0:c r="D25" s="13">
        <ns0:f>COUNTIFS(作品ベース分類!$D$6:$D$205,$A25,作品ベース分類!$A$6:$A$205,"異世界ファンタジー")</ns0:f>
        <ns0:v>8</ns0:v>
      </ns0:c>
      <ns0:c r="E25" s="13">
        <ns0:f t="shared" si="0"/>
        <ns0:v>8</ns0:v>
      </ns0:c>
      <ns0:c r="F25" s="13">
        <ns0:f>COUNTIFS(作品ベース分類!$D$6:$D$205,$A25,作品ベース分類!$A$6:$A$205,"現代ファンタジー")+COUNTIFS(作品ベース分類!$E$6:$E$205,$A25,作品ベース分類!$A$6:$A$205,"現代ファンタジー")+COUNTIFS(作品ベース分類!$F$6:$F$205,$A25,作品ベース分類!$A$6:$A$205,"現代ファンタジー")</ns0:f>
        <ns0:v>2</ns0:v>
      </ns0:c>
      <ns0:c r="G25" s="13">
        <ns0:f>COUNTIFS(作品ベース分類!$D$6:$D$205,$A25,作品ベース分類!$A$6:$A$205,"異世界ファンタジー")+COUNTIFS(作品ベース分類!$E$6:$E$205,$A25,作品ベース分類!$A$6:$A$205,"異世界ファンタジー")+COUNTIFS(作品ベース分類!$F$6:$F$205,$A25,作品ベース分類!$A$6:$A$205,"異世界ファンタジー")</ns0:f>
        <ns0:v>18</ns0:v>
      </ns0:c>
      <ns0:c r="H25" s="13">
        <ns0:f t="shared" si="1"/>
        <ns0:v>20</ns0:v>
      </ns0:c>
    </ns0:row>
    <ns0:row r="26" spans="1:8" ht="37.950000000000003" customHeight="1">
      <ns0:c r="A26" s="12" t="s">
        <ns0:v>2118</ns0:v>
      </ns0:c>
      <ns0:c r="B26" s="12" t="s">
        <ns0:v>2695</ns0:v>
      </ns0:c>
      <ns0:c r="C26" s="14">
        <ns0:f>COUNTIFS(作品ベース分類!$D$6:$D$205,$A26,作品ベース分類!$A$6:$A$205,"現代ファンタジー")</ns0:f>
        <ns0:v>0</ns0:v>
      </ns0:c>
      <ns0:c r="D26" s="14">
        <ns0:f>COUNTIFS(作品ベース分類!$D$6:$D$205,$A26,作品ベース分類!$A$6:$A$205,"異世界ファンタジー")</ns0:f>
        <ns0:v>2</ns0:v>
      </ns0:c>
      <ns0:c r="E26" s="14">
        <ns0:f t="shared" si="0"/>
        <ns0:v>2</ns0:v>
      </ns0:c>
      <ns0:c r="F26" s="14">
        <ns0:f>COUNTIFS(作品ベース分類!$D$6:$D$205,$A26,作品ベース分類!$A$6:$A$205,"現代ファンタジー")+COUNTIFS(作品ベース分類!$E$6:$E$205,$A26,作品ベース分類!$A$6:$A$205,"現代ファンタジー")+COUNTIFS(作品ベース分類!$F$6:$F$205,$A26,作品ベース分類!$A$6:$A$205,"現代ファンタジー")</ns0:f>
        <ns0:v>1</ns0:v>
      </ns0:c>
      <ns0:c r="G26" s="14">
        <ns0:f>COUNTIFS(作品ベース分類!$D$6:$D$205,$A26,作品ベース分類!$A$6:$A$205,"異世界ファンタジー")+COUNTIFS(作品ベース分類!$E$6:$E$205,$A26,作品ベース分類!$A$6:$A$205,"異世界ファンタジー")+COUNTIFS(作品ベース分類!$F$6:$F$205,$A26,作品ベース分類!$A$6:$A$205,"異世界ファンタジー")</ns0:f>
        <ns0:v>5</ns0:v>
      </ns0:c>
      <ns0:c r="H26" s="14">
        <ns0:f t="shared" si="1"/>
        <ns0:v>6</ns0:v>
      </ns0:c>
    </ns0:row>
    <ns0:row r="27" spans="1:8" ht="37.950000000000003" customHeight="1">
      <ns0:c r="A27" s="3" t="s">
        <ns0:v>2078</ns0:v>
      </ns0:c>
      <ns0:c r="B27" s="3" t="s">
        <ns0:v>2695</ns0:v>
      </ns0:c>
      <ns0:c r="C27" s="13">
        <ns0:f>COUNTIFS(作品ベース分類!$D$6:$D$205,$A27,作品ベース分類!$A$6:$A$205,"現代ファンタジー")</ns0:f>
        <ns0:v>2</ns0:v>
      </ns0:c>
      <ns0:c r="D27" s="13">
        <ns0:f>COUNTIFS(作品ベース分類!$D$6:$D$205,$A27,作品ベース分類!$A$6:$A$205,"異世界ファンタジー")</ns0:f>
        <ns0:v>3</ns0:v>
      </ns0:c>
      <ns0:c r="E27" s="13">
        <ns0:f t="shared" si="0"/>
        <ns0:v>5</ns0:v>
      </ns0:c>
      <ns0:c r="F27" s="13">
        <ns0:f>COUNTIFS(作品ベース分類!$D$6:$D$205,$A27,作品ベース分類!$A$6:$A$205,"現代ファンタジー")+COUNTIFS(作品ベース分類!$E$6:$E$205,$A27,作品ベース分類!$A$6:$A$205,"現代ファンタジー")+COUNTIFS(作品ベース分類!$F$6:$F$205,$A27,作品ベース分類!$A$6:$A$205,"現代ファンタジー")</ns0:f>
        <ns0:v>5</ns0:v>
      </ns0:c>
      <ns0:c r="G27" s="13">
        <ns0:f>COUNTIFS(作品ベース分類!$D$6:$D$205,$A27,作品ベース分類!$A$6:$A$205,"異世界ファンタジー")+COUNTIFS(作品ベース分類!$E$6:$E$205,$A27,作品ベース分類!$A$6:$A$205,"異世界ファンタジー")+COUNTIFS(作品ベース分類!$F$6:$F$205,$A27,作品ベース分類!$A$6:$A$205,"異世界ファンタジー")</ns0:f>
        <ns0:v>5</ns0:v>
      </ns0:c>
      <ns0:c r="H27" s="13">
        <ns0:f t="shared" si="1"/>
        <ns0:v>10</ns0:v>
      </ns0:c>
    </ns0:row>
    <ns0:row r="28" spans="1:8" ht="37.950000000000003" customHeight="1">
      <ns0:c r="A28" s="12" t="s">
        <ns0:v>2028</ns0:v>
      </ns0:c>
      <ns0:c r="B28" s="12" t="s">
        <ns0:v>2695</ns0:v>
      </ns0:c>
      <ns0:c r="C28" s="14">
        <ns0:f>COUNTIFS(作品ベース分類!$D$6:$D$205,$A28,作品ベース分類!$A$6:$A$205,"現代ファンタジー")</ns0:f>
        <ns0:v>3</ns0:v>
      </ns0:c>
      <ns0:c r="D28" s="14">
        <ns0:f>COUNTIFS(作品ベース分類!$D$6:$D$205,$A28,作品ベース分類!$A$6:$A$205,"異世界ファンタジー")</ns0:f>
        <ns0:v>3</ns0:v>
      </ns0:c>
      <ns0:c r="E28" s="14">
        <ns0:f t="shared" si="0"/>
        <ns0:v>6</ns0:v>
      </ns0:c>
      <ns0:c r="F28" s="14">
        <ns0:f>COUNTIFS(作品ベース分類!$D$6:$D$205,$A28,作品ベース分類!$A$6:$A$205,"現代ファンタジー")+COUNTIFS(作品ベース分類!$E$6:$E$205,$A28,作品ベース分類!$A$6:$A$205,"現代ファンタジー")+COUNTIFS(作品ベース分類!$F$6:$F$205,$A28,作品ベース分類!$A$6:$A$205,"現代ファンタジー")</ns0:f>
        <ns0:v>4</ns0:v>
      </ns0:c>
      <ns0:c r="G28" s="14">
        <ns0:f>COUNTIFS(作品ベース分類!$D$6:$D$205,$A28,作品ベース分類!$A$6:$A$205,"異世界ファンタジー")+COUNTIFS(作品ベース分類!$E$6:$E$205,$A28,作品ベース分類!$A$6:$A$205,"異世界ファンタジー")+COUNTIFS(作品ベース分類!$F$6:$F$205,$A28,作品ベース分類!$A$6:$A$205,"異世界ファンタジー")</ns0:f>
        <ns0:v>3</ns0:v>
      </ns0:c>
      <ns0:c r="H28" s="14">
        <ns0:f t="shared" si="1"/>
        <ns0:v>7</ns0:v>
      </ns0:c>
    </ns0:row>
    <ns0:row r="29" spans="1:8" ht="37.950000000000003" customHeight="1">
      <ns0:c r="A29" s="3" t="s">
        <ns0:v>2321</ns0:v>
      </ns0:c>
      <ns0:c r="B29" s="3" t="s">
        <ns0:v>2695</ns0:v>
      </ns0:c>
      <ns0:c r="C29" s="13">
        <ns0:f>COUNTIFS(作品ベース分類!$D$6:$D$205,$A29,作品ベース分類!$A$6:$A$205,"現代ファンタジー")</ns0:f>
        <ns0:v>0</ns0:v>
      </ns0:c>
      <ns0:c r="D29" s="13">
        <ns0:f>COUNTIFS(作品ベース分類!$D$6:$D$205,$A29,作品ベース分類!$A$6:$A$205,"異世界ファンタジー")</ns0:f>
        <ns0:v>0</ns0:v>
      </ns0:c>
      <ns0:c r="E29" s="13">
        <ns0:f t="shared" si="0"/>
        <ns0:v>0</ns0:v>
      </ns0:c>
      <ns0:c r="F29" s="13">
        <ns0:f>COUNTIFS(作品ベース分類!$D$6:$D$205,$A29,作品ベース分類!$A$6:$A$205,"現代ファンタジー")+COUNTIFS(作品ベース分類!$E$6:$E$205,$A29,作品ベース分類!$A$6:$A$205,"現代ファンタジー")+COUNTIFS(作品ベース分類!$F$6:$F$205,$A29,作品ベース分類!$A$6:$A$205,"現代ファンタジー")</ns0:f>
        <ns0:v>1</ns0:v>
      </ns0:c>
      <ns0:c r="G29" s="13">
        <ns0:f>COUNTIFS(作品ベース分類!$D$6:$D$205,$A29,作品ベース分類!$A$6:$A$205,"異世界ファンタジー")+COUNTIFS(作品ベース分類!$E$6:$E$205,$A29,作品ベース分類!$A$6:$A$205,"異世界ファンタジー")+COUNTIFS(作品ベース分類!$F$6:$F$205,$A29,作品ベース分類!$A$6:$A$205,"異世界ファンタジー")</ns0:f>
        <ns0:v>8</ns0:v>
      </ns0:c>
      <ns0:c r="H29" s="13">
        <ns0:f t="shared" si="1"/>
        <ns0:v>9</ns0:v>
      </ns0:c>
    </ns0:row>
    <ns0:row r="30" spans="1:8" ht="37.950000000000003" customHeight="1">
      <ns0:c r="A30" s="12" t="s">
        <ns0:v>2151</ns0:v>
      </ns0:c>
      <ns0:c r="B30" s="12" t="s">
        <ns0:v>2695</ns0:v>
      </ns0:c>
      <ns0:c r="C30" s="14">
        <ns0:f>COUNTIFS(作品ベース分類!$D$6:$D$205,$A30,作品ベース分類!$A$6:$A$205,"現代ファンタジー")</ns0:f>
        <ns0:v>1</ns0:v>
      </ns0:c>
      <ns0:c r="D30" s="14">
        <ns0:f>COUNTIFS(作品ベース分類!$D$6:$D$205,$A30,作品ベース分類!$A$6:$A$205,"異世界ファンタジー")</ns0:f>
        <ns0:v>1</ns0:v>
      </ns0:c>
      <ns0:c r="E30" s="14">
        <ns0:f t="shared" si="0"/>
        <ns0:v>2</ns0:v>
      </ns0:c>
      <ns0:c r="F30" s="14">
        <ns0:f>COUNTIFS(作品ベース分類!$D$6:$D$205,$A30,作品ベース分類!$A$6:$A$205,"現代ファンタジー")+COUNTIFS(作品ベース分類!$E$6:$E$205,$A30,作品ベース分類!$A$6:$A$205,"現代ファンタジー")+COUNTIFS(作品ベース分類!$F$6:$F$205,$A30,作品ベース分類!$A$6:$A$205,"現代ファンタジー")</ns0:f>
        <ns0:v>6</ns0:v>
      </ns0:c>
      <ns0:c r="G30" s="14">
        <ns0:f>COUNTIFS(作品ベース分類!$D$6:$D$205,$A30,作品ベース分類!$A$6:$A$205,"異世界ファンタジー")+COUNTIFS(作品ベース分類!$E$6:$E$205,$A30,作品ベース分類!$A$6:$A$205,"異世界ファンタジー")+COUNTIFS(作品ベース分類!$F$6:$F$205,$A30,作品ベース分類!$A$6:$A$205,"異世界ファンタジー")</ns0:f>
        <ns0:v>7</ns0:v>
      </ns0:c>
      <ns0:c r="H30" s="14">
        <ns0:f t="shared" si="1"/>
        <ns0:v>13</ns0:v>
      </ns0:c>
    </ns0:row>
    <ns0:row r="31" spans="1:8" ht="37.950000000000003" customHeight="1">
      <ns0:c r="A31" s="3" t="s">
        <ns0:v>2113</ns0:v>
      </ns0:c>
      <ns0:c r="B31" s="3" t="s">
        <ns0:v>2695</ns0:v>
      </ns0:c>
      <ns0:c r="C31" s="13">
        <ns0:f>COUNTIFS(作品ベース分類!$D$6:$D$205,$A31,作品ベース分類!$A$6:$A$205,"現代ファンタジー")</ns0:f>
        <ns0:v>3</ns0:v>
      </ns0:c>
      <ns0:c r="D31" s="13">
        <ns0:f>COUNTIFS(作品ベース分類!$D$6:$D$205,$A31,作品ベース分類!$A$6:$A$205,"異世界ファンタジー")</ns0:f>
        <ns0:v>1</ns0:v>
      </ns0:c>
      <ns0:c r="E31" s="13">
        <ns0:f t="shared" si="0"/>
        <ns0:v>4</ns0:v>
      </ns0:c>
      <ns0:c r="F31" s="13">
        <ns0:f>COUNTIFS(作品ベース分類!$D$6:$D$205,$A31,作品ベース分類!$A$6:$A$205,"現代ファンタジー")+COUNTIFS(作品ベース分類!$E$6:$E$205,$A31,作品ベース分類!$A$6:$A$205,"現代ファンタジー")+COUNTIFS(作品ベース分類!$F$6:$F$205,$A31,作品ベース分類!$A$6:$A$205,"現代ファンタジー")</ns0:f>
        <ns0:v>6</ns0:v>
      </ns0:c>
      <ns0:c r="G31" s="13">
        <ns0:f>COUNTIFS(作品ベース分類!$D$6:$D$205,$A31,作品ベース分類!$A$6:$A$205,"異世界ファンタジー")+COUNTIFS(作品ベース分類!$E$6:$E$205,$A31,作品ベース分類!$A$6:$A$205,"異世界ファンタジー")+COUNTIFS(作品ベース分類!$F$6:$F$205,$A31,作品ベース分類!$A$6:$A$205,"異世界ファンタジー")</ns0:f>
        <ns0:v>3</ns0:v>
      </ns0:c>
      <ns0:c r="H31" s="13">
        <ns0:f t="shared" si="1"/>
        <ns0:v>9</ns0:v>
      </ns0:c>
    </ns0:row>
    <ns0:row r="32" spans="1:8" ht="37.950000000000003" customHeight="1">
      <ns0:c r="A32" s="12" t="s">
        <ns0:v>2102</ns0:v>
      </ns0:c>
      <ns0:c r="B32" s="12" t="s">
        <ns0:v>2695</ns0:v>
      </ns0:c>
      <ns0:c r="C32" s="14">
        <ns0:f>COUNTIFS(作品ベース分類!$D$6:$D$205,$A32,作品ベース分類!$A$6:$A$205,"現代ファンタジー")</ns0:f>
        <ns0:v>1</ns0:v>
      </ns0:c>
      <ns0:c r="D32" s="14">
        <ns0:f>COUNTIFS(作品ベース分類!$D$6:$D$205,$A32,作品ベース分類!$A$6:$A$205,"異世界ファンタジー")</ns0:f>
        <ns0:v>7</ns0:v>
      </ns0:c>
      <ns0:c r="E32" s="14">
        <ns0:f t="shared" si="0"/>
        <ns0:v>8</ns0:v>
      </ns0:c>
      <ns0:c r="F32" s="14">
        <ns0:f>COUNTIFS(作品ベース分類!$D$6:$D$205,$A32,作品ベース分類!$A$6:$A$205,"現代ファンタジー")+COUNTIFS(作品ベース分類!$E$6:$E$205,$A32,作品ベース分類!$A$6:$A$205,"現代ファンタジー")+COUNTIFS(作品ベース分類!$F$6:$F$205,$A32,作品ベース分類!$A$6:$A$205,"現代ファンタジー")</ns0:f>
        <ns0:v>6</ns0:v>
      </ns0:c>
      <ns0:c r="G32" s="14">
        <ns0:f>COUNTIFS(作品ベース分類!$D$6:$D$205,$A32,作品ベース分類!$A$6:$A$205,"異世界ファンタジー")+COUNTIFS(作品ベース分類!$E$6:$E$205,$A32,作品ベース分類!$A$6:$A$205,"異世界ファンタジー")+COUNTIFS(作品ベース分類!$F$6:$F$205,$A32,作品ベース分類!$A$6:$A$205,"異世界ファンタジー")</ns0:f>
        <ns0:v>25</ns0:v>
      </ns0:c>
      <ns0:c r="H32" s="14">
        <ns0:f t="shared" si="1"/>
        <ns0:v>31</ns0:v>
      </ns0:c>
    </ns0:row>
    <ns0:row r="33" spans="1:8" ht="37.950000000000003" customHeight="1">
      <ns0:c r="A33" s="3" t="s">
        <ns0:v>2063</ns0:v>
      </ns0:c>
      <ns0:c r="B33" s="3" t="s">
        <ns0:v>2695</ns0:v>
      </ns0:c>
      <ns0:c r="C33" s="13">
        <ns0:f>COUNTIFS(作品ベース分類!$D$6:$D$205,$A33,作品ベース分類!$A$6:$A$205,"現代ファンタジー")</ns0:f>
        <ns0:v>12</ns0:v>
      </ns0:c>
      <ns0:c r="D33" s="13">
        <ns0:f>COUNTIFS(作品ベース分類!$D$6:$D$205,$A33,作品ベース分類!$A$6:$A$205,"異世界ファンタジー")</ns0:f>
        <ns0:v>6</ns0:v>
      </ns0:c>
      <ns0:c r="E33" s="13">
        <ns0:f t="shared" si="0"/>
        <ns0:v>18</ns0:v>
      </ns0:c>
      <ns0:c r="F33" s="13">
        <ns0:f>COUNTIFS(作品ベース分類!$D$6:$D$205,$A33,作品ベース分類!$A$6:$A$205,"現代ファンタジー")+COUNTIFS(作品ベース分類!$E$6:$E$205,$A33,作品ベース分類!$A$6:$A$205,"現代ファンタジー")+COUNTIFS(作品ベース分類!$F$6:$F$205,$A33,作品ベース分類!$A$6:$A$205,"現代ファンタジー")</ns0:f>
        <ns0:v>22</ns0:v>
      </ns0:c>
      <ns0:c r="G33" s="13">
        <ns0:f>COUNTIFS(作品ベース分類!$D$6:$D$205,$A33,作品ベース分類!$A$6:$A$205,"異世界ファンタジー")+COUNTIFS(作品ベース分類!$E$6:$E$205,$A33,作品ベース分類!$A$6:$A$205,"異世界ファンタジー")+COUNTIFS(作品ベース分類!$F$6:$F$205,$A33,作品ベース分類!$A$6:$A$205,"異世界ファンタジー")</ns0:f>
        <ns0:v>21</ns0:v>
      </ns0:c>
      <ns0:c r="H33" s="13">
        <ns0:f t="shared" si="1"/>
        <ns0:v>43</ns0:v>
      </ns0:c>
    </ns0:row>
    <ns0:row r="34" spans="1:8" ht="37.950000000000003" customHeight="1">
      <ns0:c r="A34" s="12" t="s">
        <ns0:v>2082</ns0:v>
      </ns0:c>
      <ns0:c r="B34" s="12" t="s">
        <ns0:v>2695</ns0:v>
      </ns0:c>
      <ns0:c r="C34" s="14">
        <ns0:f>COUNTIFS(作品ベース分類!$D$6:$D$205,$A34,作品ベース分類!$A$6:$A$205,"現代ファンタジー")</ns0:f>
        <ns0:v>3</ns0:v>
      </ns0:c>
      <ns0:c r="D34" s="14">
        <ns0:f>COUNTIFS(作品ベース分類!$D$6:$D$205,$A34,作品ベース分類!$A$6:$A$205,"異世界ファンタジー")</ns0:f>
        <ns0:v>10</ns0:v>
      </ns0:c>
      <ns0:c r="E34" s="14">
        <ns0:f t="shared" si="0"/>
        <ns0:v>13</ns0:v>
      </ns0:c>
      <ns0:c r="F34" s="14">
        <ns0:f>COUNTIFS(作品ベース分類!$D$6:$D$205,$A34,作品ベース分類!$A$6:$A$205,"現代ファンタジー")+COUNTIFS(作品ベース分類!$E$6:$E$205,$A34,作品ベース分類!$A$6:$A$205,"現代ファンタジー")+COUNTIFS(作品ベース分類!$F$6:$F$205,$A34,作品ベース分類!$A$6:$A$205,"現代ファンタジー")</ns0:f>
        <ns0:v>8</ns0:v>
      </ns0:c>
      <ns0:c r="G34" s="14">
        <ns0:f>COUNTIFS(作品ベース分類!$D$6:$D$205,$A34,作品ベース分類!$A$6:$A$205,"異世界ファンタジー")+COUNTIFS(作品ベース分類!$E$6:$E$205,$A34,作品ベース分類!$A$6:$A$205,"異世界ファンタジー")+COUNTIFS(作品ベース分類!$F$6:$F$205,$A34,作品ベース分類!$A$6:$A$205,"異世界ファンタジー")</ns0:f>
        <ns0:v>14</ns0:v>
      </ns0:c>
      <ns0:c r="H34" s="14">
        <ns0:f t="shared" si="1"/>
        <ns0:v>22</ns0:v>
      </ns0:c>
    </ns0:row>
    <ns0:row r="35" spans="1:8" ht="37.950000000000003" customHeight="1">
      <ns0:c r="A35" s="3" t="s">
        <ns0:v>2224</ns0:v>
      </ns0:c>
      <ns0:c r="B35" s="3" t="s">
        <ns0:v>2695</ns0:v>
      </ns0:c>
      <ns0:c r="C35" s="13">
        <ns0:f>COUNTIFS(作品ベース分類!$D$6:$D$205,$A35,作品ベース分類!$A$6:$A$205,"現代ファンタジー")</ns0:f>
        <ns0:v>2</ns0:v>
      </ns0:c>
      <ns0:c r="D35" s="13">
        <ns0:f>COUNTIFS(作品ベース分類!$D$6:$D$205,$A35,作品ベース分類!$A$6:$A$205,"異世界ファンタジー")</ns0:f>
        <ns0:v>0</ns0:v>
      </ns0:c>
      <ns0:c r="E35" s="13">
        <ns0:f t="shared" si="0"/>
        <ns0:v>2</ns0:v>
      </ns0:c>
      <ns0:c r="F35" s="13">
        <ns0:f>COUNTIFS(作品ベース分類!$D$6:$D$205,$A35,作品ベース分類!$A$6:$A$205,"現代ファンタジー")+COUNTIFS(作品ベース分類!$E$6:$E$205,$A35,作品ベース分類!$A$6:$A$205,"現代ファンタジー")+COUNTIFS(作品ベース分類!$F$6:$F$205,$A35,作品ベース分類!$A$6:$A$205,"現代ファンタジー")</ns0:f>
        <ns0:v>2</ns0:v>
      </ns0:c>
      <ns0:c r="G35" s="13">
        <ns0:f>COUNTIFS(作品ベース分類!$D$6:$D$205,$A35,作品ベース分類!$A$6:$A$205,"異世界ファンタジー")+COUNTIFS(作品ベース分類!$E$6:$E$205,$A35,作品ベース分類!$A$6:$A$205,"異世界ファンタジー")+COUNTIFS(作品ベース分類!$F$6:$F$205,$A35,作品ベース分類!$A$6:$A$205,"異世界ファンタジー")</ns0:f>
        <ns0:v>1</ns0:v>
      </ns0:c>
      <ns0:c r="H35" s="13">
        <ns0:f t="shared" si="1"/>
        <ns0:v>3</ns0:v>
      </ns0:c>
    </ns0:row>
    <ns0:row r="36" spans="1:8" ht="37.950000000000003" customHeight="1">
      <ns0:c r="A36" s="15" t="s">
        <ns0:v>2029</ns0:v>
      </ns0:c>
      <ns0:c r="B36" s="15" t="s">
        <ns0:v>2017</ns0:v>
      </ns0:c>
      <ns0:c r="C36" s="16">
        <ns0:f>COUNTIFS(作品ベース分類!$D$6:$D$205,$A36,作品ベース分類!$A$6:$A$205,"現代ファンタジー")</ns0:f>
        <ns0:v>6</ns0:v>
      </ns0:c>
      <ns0:c r="D36" s="16">
        <ns0:f>COUNTIFS(作品ベース分類!$D$6:$D$205,$A36,作品ベース分類!$A$6:$A$205,"異世界ファンタジー")</ns0:f>
        <ns0:v>1</ns0:v>
      </ns0:c>
      <ns0:c r="E36" s="16">
        <ns0:f t="shared" si="0"/>
        <ns0:v>7</ns0:v>
      </ns0:c>
      <ns0:c r="F36" s="16">
        <ns0:f>COUNTIFS(作品ベース分類!$D$6:$D$205,$A36,作品ベース分類!$A$6:$A$205,"現代ファンタジー")+COUNTIFS(作品ベース分類!$E$6:$E$205,$A36,作品ベース分類!$A$6:$A$205,"現代ファンタジー")+COUNTIFS(作品ベース分類!$F$6:$F$205,$A36,作品ベース分類!$A$6:$A$205,"現代ファンタジー")</ns0:f>
        <ns0:v>24</ns0:v>
      </ns0:c>
      <ns0:c r="G36" s="16">
        <ns0:f>COUNTIFS(作品ベース分類!$D$6:$D$205,$A36,作品ベース分類!$A$6:$A$205,"異世界ファンタジー")+COUNTIFS(作品ベース分類!$E$6:$E$205,$A36,作品ベース分類!$A$6:$A$205,"異世界ファンタジー")+COUNTIFS(作品ベース分類!$F$6:$F$205,$A36,作品ベース分類!$A$6:$A$205,"異世界ファンタジー")</ns0:f>
        <ns0:v>1</ns0:v>
      </ns0:c>
      <ns0:c r="H36" s="16">
        <ns0:f t="shared" si="1"/>
        <ns0:v>25</ns0:v>
      </ns0:c>
    </ns0:row>
    <ns0:row r="37" spans="1:8" ht="37.950000000000003" customHeight="1">
      <ns0:c r="A37" s="15" t="s">
        <ns0:v>2077</ns0:v>
      </ns0:c>
      <ns0:c r="B37" s="15" t="s">
        <ns0:v>2017</ns0:v>
      </ns0:c>
      <ns0:c r="C37" s="16">
        <ns0:f>COUNTIFS(作品ベース分類!$D$6:$D$205,$A37,作品ベース分類!$A$6:$A$205,"現代ファンタジー")</ns0:f>
        <ns0:v>6</ns0:v>
      </ns0:c>
      <ns0:c r="D37" s="16">
        <ns0:f>COUNTIFS(作品ベース分類!$D$6:$D$205,$A37,作品ベース分類!$A$6:$A$205,"異世界ファンタジー")</ns0:f>
        <ns0:v>3</ns0:v>
      </ns0:c>
      <ns0:c r="E37" s="16">
        <ns0:f t="shared" si="0"/>
        <ns0:v>9</ns0:v>
      </ns0:c>
      <ns0:c r="F37" s="16">
        <ns0:f>COUNTIFS(作品ベース分類!$D$6:$D$205,$A37,作品ベース分類!$A$6:$A$205,"現代ファンタジー")+COUNTIFS(作品ベース分類!$E$6:$E$205,$A37,作品ベース分類!$A$6:$A$205,"現代ファンタジー")+COUNTIFS(作品ベース分類!$F$6:$F$205,$A37,作品ベース分類!$A$6:$A$205,"現代ファンタジー")</ns0:f>
        <ns0:v>8</ns0:v>
      </ns0:c>
      <ns0:c r="G37" s="16">
        <ns0:f>COUNTIFS(作品ベース分類!$D$6:$D$205,$A37,作品ベース分類!$A$6:$A$205,"異世界ファンタジー")+COUNTIFS(作品ベース分類!$E$6:$E$205,$A37,作品ベース分類!$A$6:$A$205,"異世界ファンタジー")+COUNTIFS(作品ベース分類!$F$6:$F$205,$A37,作品ベース分類!$A$6:$A$205,"異世界ファンタジー")</ns0:f>
        <ns0:v>5</ns0:v>
      </ns0:c>
      <ns0:c r="H37" s="16">
        <ns0:f t="shared" si="1"/>
        <ns0:v>13</ns0:v>
      </ns0:c>
    </ns0:row>
    <ns0:row r="38" spans="1:8" ht="37.950000000000003" customHeight="1">
      <ns0:c r="A38" s="15" t="s">
        <ns0:v>2058</ns0:v>
      </ns0:c>
      <ns0:c r="B38" s="15" t="s">
        <ns0:v>2017</ns0:v>
      </ns0:c>
      <ns0:c r="C38" s="16">
        <ns0:f>COUNTIFS(作品ベース分類!$D$6:$D$205,$A38,作品ベース分類!$A$6:$A$205,"現代ファンタジー")</ns0:f>
        <ns0:v>2</ns0:v>
      </ns0:c>
      <ns0:c r="D38" s="16">
        <ns0:f>COUNTIFS(作品ベース分類!$D$6:$D$205,$A38,作品ベース分類!$A$6:$A$205,"異世界ファンタジー")</ns0:f>
        <ns0:v>1</ns0:v>
      </ns0:c>
      <ns0:c r="E38" s="16">
        <ns0:f t="shared" si="0"/>
        <ns0:v>3</ns0:v>
      </ns0:c>
      <ns0:c r="F38" s="16">
        <ns0:f>COUNTIFS(作品ベース分類!$D$6:$D$205,$A38,作品ベース分類!$A$6:$A$205,"現代ファンタジー")+COUNTIFS(作品ベース分類!$E$6:$E$205,$A38,作品ベース分類!$A$6:$A$205,"現代ファンタジー")+COUNTIFS(作品ベース分類!$F$6:$F$205,$A38,作品ベース分類!$A$6:$A$205,"現代ファンタジー")</ns0:f>
        <ns0:v>6</ns0:v>
      </ns0:c>
      <ns0:c r="G38" s="16">
        <ns0:f>COUNTIFS(作品ベース分類!$D$6:$D$205,$A38,作品ベース分類!$A$6:$A$205,"異世界ファンタジー")+COUNTIFS(作品ベース分類!$E$6:$E$205,$A38,作品ベース分類!$A$6:$A$205,"異世界ファンタジー")+COUNTIFS(作品ベース分類!$F$6:$F$205,$A38,作品ベース分類!$A$6:$A$205,"異世界ファンタジー")</ns0:f>
        <ns0:v>7</ns0:v>
      </ns0:c>
      <ns0:c r="H38" s="16">
        <ns0:f t="shared" si="1"/>
        <ns0:v>13</ns0:v>
      </ns0:c>
    </ns0:row>
    <ns0:row r="39" spans="1:8" ht="37.950000000000003" customHeight="1">
      <ns0:c r="A39" s="15" t="s">
        <ns0:v>2109</ns0:v>
      </ns0:c>
      <ns0:c r="B39" s="15" t="s">
        <ns0:v>2017</ns0:v>
      </ns0:c>
      <ns0:c r="C39" s="16">
        <ns0:f>COUNTIFS(作品ベース分類!$D$6:$D$205,$A39,作品ベース分類!$A$6:$A$205,"現代ファンタジー")</ns0:f>
        <ns0:v>1</ns0:v>
      </ns0:c>
      <ns0:c r="D39" s="16">
        <ns0:f>COUNTIFS(作品ベース分類!$D$6:$D$205,$A39,作品ベース分類!$A$6:$A$205,"異世界ファンタジー")</ns0:f>
        <ns0:v>1</ns0:v>
      </ns0:c>
      <ns0:c r="E39" s="16">
        <ns0:f t="shared" si="0"/>
        <ns0:v>2</ns0:v>
      </ns0:c>
      <ns0:c r="F39" s="16">
        <ns0:f>COUNTIFS(作品ベース分類!$D$6:$D$205,$A39,作品ベース分類!$A$6:$A$205,"現代ファンタジー")+COUNTIFS(作品ベース分類!$E$6:$E$205,$A39,作品ベース分類!$A$6:$A$205,"現代ファンタジー")+COUNTIFS(作品ベース分類!$F$6:$F$205,$A39,作品ベース分類!$A$6:$A$205,"現代ファンタジー")</ns0:f>
        <ns0:v>1</ns0:v>
      </ns0:c>
      <ns0:c r="G39" s="16">
        <ns0:f>COUNTIFS(作品ベース分類!$D$6:$D$205,$A39,作品ベース分類!$A$6:$A$205,"異世界ファンタジー")+COUNTIFS(作品ベース分類!$E$6:$E$205,$A39,作品ベース分類!$A$6:$A$205,"異世界ファンタジー")+COUNTIFS(作品ベース分類!$F$6:$F$205,$A39,作品ベース分類!$A$6:$A$205,"異世界ファンタジー")</ns0:f>
        <ns0:v>3</ns0:v>
      </ns0:c>
      <ns0:c r="H39" s="16">
        <ns0:f t="shared" si="1"/>
        <ns0:v>4</ns0:v>
      </ns0:c>
    </ns0:row>
    <ns0:row r="40" spans="1:8" ht="37.950000000000003" customHeight="1">
      <ns0:c r="A40" s="15" t="s">
        <ns0:v>2465</ns0:v>
      </ns0:c>
      <ns0:c r="B40" s="15" t="s">
        <ns0:v>2017</ns0:v>
      </ns0:c>
      <ns0:c r="C40" s="16">
        <ns0:f>COUNTIFS(作品ベース分類!$D$6:$D$205,$A40,作品ベース分類!$A$6:$A$205,"現代ファンタジー")</ns0:f>
        <ns0:v>0</ns0:v>
      </ns0:c>
      <ns0:c r="D40" s="16">
        <ns0:f>COUNTIFS(作品ベース分類!$D$6:$D$205,$A40,作品ベース分類!$A$6:$A$205,"異世界ファンタジー")</ns0:f>
        <ns0:v>1</ns0:v>
      </ns0:c>
      <ns0:c r="E40" s="16">
        <ns0:f t="shared" si="0"/>
        <ns0:v>1</ns0:v>
      </ns0:c>
      <ns0:c r="F40" s="16">
        <ns0:f>COUNTIFS(作品ベース分類!$D$6:$D$205,$A40,作品ベース分類!$A$6:$A$205,"現代ファンタジー")+COUNTIFS(作品ベース分類!$E$6:$E$205,$A40,作品ベース分類!$A$6:$A$205,"現代ファンタジー")+COUNTIFS(作品ベース分類!$F$6:$F$205,$A40,作品ベース分類!$A$6:$A$205,"現代ファンタジー")</ns0:f>
        <ns0:v>0</ns0:v>
      </ns0:c>
      <ns0:c r="G40" s="16">
        <ns0:f>COUNTIFS(作品ベース分類!$D$6:$D$205,$A40,作品ベース分類!$A$6:$A$205,"異世界ファンタジー")+COUNTIFS(作品ベース分類!$E$6:$E$205,$A40,作品ベース分類!$A$6:$A$205,"異世界ファンタジー")+COUNTIFS(作品ベース分類!$F$6:$F$205,$A40,作品ベース分類!$A$6:$A$205,"異世界ファンタジー")</ns0:f>
        <ns0:v>3</ns0:v>
      </ns0:c>
      <ns0:c r="H40" s="16">
        <ns0:f t="shared" si="1"/>
        <ns0:v>3</ns0:v>
      </ns0:c>
    </ns0:row>
    <ns0:row r="41" spans="1:8" ht="37.950000000000003" customHeight="1">
      <ns0:c r="A41" s="17" t="s">
        <ns0:v>2158</ns0:v>
      </ns0:c>
      <ns0:c r="B41" s="17" t="s">
        <ns0:v>2696</ns0:v>
      </ns0:c>
      <ns0:c r="C41" s="18">
        <ns0:f>COUNTIFS(作品ベース分類!$D$6:$D$205,$A41,作品ベース分類!$A$6:$A$205,"現代ファンタジー")</ns0:f>
        <ns0:v>3</ns0:v>
      </ns0:c>
      <ns0:c r="D41" s="18">
        <ns0:f>COUNTIFS(作品ベース分類!$D$6:$D$205,$A41,作品ベース分類!$A$6:$A$205,"異世界ファンタジー")</ns0:f>
        <ns0:v>0</ns0:v>
      </ns0:c>
      <ns0:c r="E41" s="18">
        <ns0:f t="shared" si="0"/>
        <ns0:v>3</ns0:v>
      </ns0:c>
      <ns0:c r="F41" s="18">
        <ns0:f>COUNTIFS(作品ベース分類!$D$6:$D$205,$A41,作品ベース分類!$A$6:$A$205,"現代ファンタジー")+COUNTIFS(作品ベース分類!$E$6:$E$205,$A41,作品ベース分類!$A$6:$A$205,"現代ファンタジー")+COUNTIFS(作品ベース分類!$F$6:$F$205,$A41,作品ベース分類!$A$6:$A$205,"現代ファンタジー")</ns0:f>
        <ns0:v>3</ns0:v>
      </ns0:c>
      <ns0:c r="G41" s="18">
        <ns0:f>COUNTIFS(作品ベース分類!$D$6:$D$205,$A41,作品ベース分類!$A$6:$A$205,"異世界ファンタジー")+COUNTIFS(作品ベース分類!$E$6:$E$205,$A41,作品ベース分類!$A$6:$A$205,"異世界ファンタジー")+COUNTIFS(作品ベース分類!$F$6:$F$205,$A41,作品ベース分類!$A$6:$A$205,"異世界ファンタジー")</ns0:f>
        <ns0:v>0</ns0:v>
      </ns0:c>
      <ns0:c r="H41" s="18">
        <ns0:f t="shared" si="1"/>
        <ns0:v>3</ns0:v>
      </ns0:c>
    </ns0:row>
    <ns0:row r="42" spans="1:8" ht="34.049999999999997" customHeight="1">
      <ns0:c r="A42" s="23" t="s">
        <ns0:v>2697</ns0:v>
      </ns0:c>
      <ns0:c r="B42" s="23"/>
      <ns0:c r="C42" s="19">
        <ns0:f t="shared" ref="C42:H42" si="2">SUM(C9:C41)</ns0:f>
        <ns0:v>100</ns0:v>
      </ns0:c>
      <ns0:c r="D42" s="19">
        <ns0:f t="shared" si="2"/>
        <ns0:v>100</ns0:v>
      </ns0:c>
      <ns0:c r="E42" s="19">
        <ns0:f t="shared" si="2"/>
        <ns0:v>200</ns0:v>
      </ns0:c>
      <ns0:c r="F42" s="19">
        <ns0:f t="shared" si="2"/>
        <ns0:v>245</ns0:v>
      </ns0:c>
      <ns0:c r="G42" s="19">
        <ns0:f t="shared" si="2"/>
        <ns0:v>228</ns0:v>
      </ns0:c>
      <ns0:c r="H42" s="19">
        <ns0:f t="shared" si="2"/>
        <ns0:v>473</ns0:v>
      </ns0:c>
    </ns0:row>
    <ns0:row r="43" spans="1:8" ht="18">
      <ns0:c r="A43" s="3"/>
      <ns0:c r="B43" s="3"/>
      <ns0:c r="C43" s="3"/>
      <ns0:c r="D43" s="3"/>
      <ns0:c r="E43" s="3"/>
      <ns0:c r="F43" s="3"/>
      <ns0:c r="G43" s="3"/>
      <ns0:c r="H43" s="3"/>
    </ns0:row>
    <ns0:row r="44" spans="1:8" ht="30" customHeight="1">
      <ns0:c r="A44" s="20" t="s">
        <ns0:v>2698</ns0:v>
      </ns0:c>
      <ns0:c r="B44" s="20" t="s">
        <ns0:v>2698</ns0:v>
      </ns0:c>
      <ns0:c r="C44" s="20" t="s">
        <ns0:v>2698</ns0:v>
      </ns0:c>
      <ns0:c r="D44" s="20" t="s">
        <ns0:v>2698</ns0:v>
      </ns0:c>
      <ns0:c r="E44" s="20" t="s">
        <ns0:v>2698</ns0:v>
      </ns0:c>
      <ns0:c r="F44" s="20" t="s">
        <ns0:v>2698</ns0:v>
      </ns0:c>
      <ns0:c r="G44" s="20" t="s">
        <ns0:v>2698</ns0:v>
      </ns0:c>
      <ns0:c r="H44" s="20" t="s">
        <ns0:v>2698</ns0:v>
      </ns0:c>
    </ns0:row>
    <ns0:row r="45" spans="1:8" ht="48" customHeight="1">
      <ns0:c r="A45" s="24" t="s">
        <ns0:v>2699</ns0:v>
      </ns0:c>
      <ns0:c r="B45" s="24" t="s">
        <ns0:v>2699</ns0:v>
      </ns0:c>
      <ns0:c r="C45" s="24" t="s">
        <ns0:v>2699</ns0:v>
      </ns0:c>
      <ns0:c r="D45" s="24" t="s">
        <ns0:v>2699</ns0:v>
      </ns0:c>
      <ns0:c r="E45" s="24" t="s">
        <ns0:v>2699</ns0:v>
      </ns0:c>
      <ns0:c r="F45" s="24" t="s">
        <ns0:v>2699</ns0:v>
      </ns0:c>
      <ns0:c r="G45" s="24" t="s">
        <ns0:v>2699</ns0:v>
      </ns0:c>
      <ns0:c r="H45" s="24" t="s">
        <ns0:v>2699</ns0:v>
      </ns0:c>
    </ns0:row>
    <ns0:row r="46" spans="1:8" ht="48" customHeight="1">
      <ns0:c r="A46" s="25" t="s">
        <ns0:v>2700</ns0:v>
      </ns0:c>
      <ns0:c r="B46" s="25" t="s">
        <ns0:v>2700</ns0:v>
      </ns0:c>
      <ns0:c r="C46" s="25" t="s">
        <ns0:v>2700</ns0:v>
      </ns0:c>
      <ns0:c r="D46" s="25" t="s">
        <ns0:v>2700</ns0:v>
      </ns0:c>
      <ns0:c r="E46" s="25" t="s">
        <ns0:v>2700</ns0:v>
      </ns0:c>
      <ns0:c r="F46" s="25" t="s">
        <ns0:v>2700</ns0:v>
      </ns0:c>
      <ns0:c r="G46" s="25" t="s">
        <ns0:v>2700</ns0:v>
      </ns0:c>
      <ns0:c r="H46" s="25" t="s">
        <ns0:v>2700</ns0:v>
      </ns0:c>
    </ns0:row>
    <ns0:row r="47" spans="1:8" ht="48" customHeight="1">
      <ns0:c r="A47" s="24" t="s">
        <ns0:v>2701</ns0:v>
      </ns0:c>
      <ns0:c r="B47" s="24" t="s">
        <ns0:v>2701</ns0:v>
      </ns0:c>
      <ns0:c r="C47" s="24" t="s">
        <ns0:v>2701</ns0:v>
      </ns0:c>
      <ns0:c r="D47" s="24" t="s">
        <ns0:v>2701</ns0:v>
      </ns0:c>
      <ns0:c r="E47" s="24" t="s">
        <ns0:v>2701</ns0:v>
      </ns0:c>
      <ns0:c r="F47" s="24" t="s">
        <ns0:v>2701</ns0:v>
      </ns0:c>
      <ns0:c r="G47" s="24" t="s">
        <ns0:v>2701</ns0:v>
      </ns0:c>
      <ns0:c r="H47" s="24" t="s">
        <ns0:v>2701</ns0:v>
      </ns0:c>
    </ns0:row>
    <ns0:row r="48" spans="1:8" ht="48" customHeight="1">
      <ns0:c r="A48" s="25" t="s">
        <ns0:v>2702</ns0:v>
      </ns0:c>
      <ns0:c r="B48" s="25" t="s">
        <ns0:v>2702</ns0:v>
      </ns0:c>
      <ns0:c r="C48" s="25" t="s">
        <ns0:v>2702</ns0:v>
      </ns0:c>
      <ns0:c r="D48" s="25" t="s">
        <ns0:v>2702</ns0:v>
      </ns0:c>
      <ns0:c r="E48" s="25" t="s">
        <ns0:v>2702</ns0:v>
      </ns0:c>
      <ns0:c r="F48" s="25" t="s">
        <ns0:v>2702</ns0:v>
      </ns0:c>
      <ns0:c r="G48" s="25" t="s">
        <ns0:v>2702</ns0:v>
      </ns0:c>
      <ns0:c r="H48" s="25" t="s">
        <ns0:v>2702</ns0:v>
      </ns0:c>
    </ns0:row>
    <ns0:row r="49" spans="1:8" ht="48" customHeight="1">
      <ns0:c r="A49" s="24" t="s">
        <ns0:v>2703</ns0:v>
      </ns0:c>
      <ns0:c r="B49" s="24" t="s">
        <ns0:v>2703</ns0:v>
      </ns0:c>
      <ns0:c r="C49" s="24" t="s">
        <ns0:v>2703</ns0:v>
      </ns0:c>
      <ns0:c r="D49" s="24" t="s">
        <ns0:v>2703</ns0:v>
      </ns0:c>
      <ns0:c r="E49" s="24" t="s">
        <ns0:v>2703</ns0:v>
      </ns0:c>
      <ns0:c r="F49" s="24" t="s">
        <ns0:v>2703</ns0:v>
      </ns0:c>
      <ns0:c r="G49" s="24" t="s">
        <ns0:v>2703</ns0:v>
      </ns0:c>
      <ns0:c r="H49" s="24" t="s">
        <ns0:v>2703</ns0:v>
      </ns0:c>
    </ns0:row>
    <ns0:row r="50" spans="1:8" ht="48" customHeight="1">
      <ns0:c r="A50" s="25" t="s">
        <ns0:v>2704</ns0:v>
      </ns0:c>
      <ns0:c r="B50" s="25" t="s">
        <ns0:v>2704</ns0:v>
      </ns0:c>
      <ns0:c r="C50" s="25" t="s">
        <ns0:v>2704</ns0:v>
      </ns0:c>
      <ns0:c r="D50" s="25" t="s">
        <ns0:v>2704</ns0:v>
      </ns0:c>
      <ns0:c r="E50" s="25" t="s">
        <ns0:v>2704</ns0:v>
      </ns0:c>
      <ns0:c r="F50" s="25" t="s">
        <ns0:v>2704</ns0:v>
      </ns0:c>
      <ns0:c r="G50" s="25" t="s">
        <ns0:v>2704</ns0:v>
      </ns0:c>
      <ns0:c r="H50" s="25" t="s">
        <ns0:v>2704</ns0:v>
      </ns0:c>
    </ns0:row>
    <ns0:row r="51" spans="1:8" ht="48" customHeight="1">
      <ns0:c r="A51" s="24" t="s">
        <ns0:v>2705</ns0:v>
      </ns0:c>
      <ns0:c r="B51" s="24" t="s">
        <ns0:v>2705</ns0:v>
      </ns0:c>
      <ns0:c r="C51" s="24" t="s">
        <ns0:v>2705</ns0:v>
      </ns0:c>
      <ns0:c r="D51" s="24" t="s">
        <ns0:v>2705</ns0:v>
      </ns0:c>
      <ns0:c r="E51" s="24" t="s">
        <ns0:v>2705</ns0:v>
      </ns0:c>
      <ns0:c r="F51" s="24" t="s">
        <ns0:v>2705</ns0:v>
      </ns0:c>
      <ns0:c r="G51" s="24" t="s">
        <ns0:v>2705</ns0:v>
      </ns0:c>
      <ns0:c r="H51" s="24" t="s">
        <ns0:v>2705</ns0:v>
      </ns0:c>
    </ns0:row>
    <ns0:row r="52" spans="1:8" ht="18">
      <ns0:c r="A52" s="3"/>
      <ns0:c r="B52" s="3"/>
      <ns0:c r="C52" s="3"/>
      <ns0:c r="D52" s="3"/>
      <ns0:c r="E52" s="3"/>
      <ns0:c r="F52" s="3"/>
      <ns0:c r="G52" s="3"/>
      <ns0:c r="H52" s="3"/>
    </ns0:row>
    <ns0:row r="53" spans="1:8" ht="30" customHeight="1">
      <ns0:c r="A53" s="20" t="s">
        <ns0:v>2706</ns0:v>
      </ns0:c>
      <ns0:c r="B53" s="20" t="s">
        <ns0:v>2706</ns0:v>
      </ns0:c>
      <ns0:c r="C53" s="20" t="s">
        <ns0:v>2706</ns0:v>
      </ns0:c>
      <ns0:c r="D53" s="20" t="s">
        <ns0:v>2706</ns0:v>
      </ns0:c>
      <ns0:c r="E53" s="20" t="s">
        <ns0:v>2706</ns0:v>
      </ns0:c>
      <ns0:c r="F53" s="20" t="s">
        <ns0:v>2706</ns0:v>
      </ns0:c>
      <ns0:c r="G53" s="20" t="s">
        <ns0:v>2706</ns0:v>
      </ns0:c>
      <ns0:c r="H53" s="20" t="s">
        <ns0:v>2706</ns0:v>
      </ns0:c>
    </ns0:row>
    <ns0:row r="54" spans="1:8" ht="30" customHeight="1">
      <ns0:c r="A54" s="26" t="s">
        <ns0:v>2687</ns0:v>
      </ns0:c>
      <ns0:c r="B54" s="26" t="s">
        <ns0:v>2687</ns0:v>
      </ns0:c>
      <ns0:c r="C54" s="26" t="s">
        <ns0:v>2707</ns0:v>
      </ns0:c>
      <ns0:c r="D54" s="26" t="s">
        <ns0:v>2707</ns0:v>
      </ns0:c>
      <ns0:c r="E54" s="26" t="s">
        <ns0:v>2707</ns0:v>
      </ns0:c>
      <ns0:c r="F54" s="26" t="s">
        <ns0:v>2707</ns0:v>
      </ns0:c>
      <ns0:c r="G54" s="26" t="s">
        <ns0:v>2707</ns0:v>
      </ns0:c>
      <ns0:c r="H54" s="26" t="s">
        <ns0:v>2707</ns0:v>
      </ns0:c>
    </ns0:row>
    <ns0:row r="55" spans="1:8" ht="64.05" customHeight="1">
      <ns0:c r="A55" s="27" t="s">
        <ns0:v>2044</ns0:v>
      </ns0:c>
      <ns0:c r="B55" s="27" t="s">
        <ns0:v>2044</ns0:v>
      </ns0:c>
      <ns0:c r="C55" s="21" t="s">
        <ns0:v>2708</ns0:v>
      </ns0:c>
      <ns0:c r="D55" s="21" t="s">
        <ns0:v>2708</ns0:v>
      </ns0:c>
      <ns0:c r="E55" s="21" t="s">
        <ns0:v>2708</ns0:v>
      </ns0:c>
      <ns0:c r="F55" s="21" t="s">
        <ns0:v>2708</ns0:v>
      </ns0:c>
      <ns0:c r="G55" s="21" t="s">
        <ns0:v>2708</ns0:v>
      </ns0:c>
      <ns0:c r="H55" s="21" t="s">
        <ns0:v>2708</ns0:v>
      </ns0:c>
    </ns0:row>
    <ns0:row r="56" spans="1:8" ht="64.05" customHeight="1">
      <ns0:c r="A56" s="27" t="s">
        <ns0:v>2101</ns0:v>
      </ns0:c>
      <ns0:c r="B56" s="27" t="s">
        <ns0:v>2101</ns0:v>
      </ns0:c>
      <ns0:c r="C56" s="21" t="s">
        <ns0:v>2709</ns0:v>
      </ns0:c>
      <ns0:c r="D56" s="21" t="s">
        <ns0:v>2709</ns0:v>
      </ns0:c>
      <ns0:c r="E56" s="21" t="s">
        <ns0:v>2709</ns0:v>
      </ns0:c>
      <ns0:c r="F56" s="21" t="s">
        <ns0:v>2709</ns0:v>
      </ns0:c>
      <ns0:c r="G56" s="21" t="s">
        <ns0:v>2709</ns0:v>
      </ns0:c>
      <ns0:c r="H56" s="21" t="s">
        <ns0:v>2709</ns0:v>
      </ns0:c>
    </ns0:row>
    <ns0:row r="57" spans="1:8" ht="64.05" customHeight="1">
      <ns0:c r="A57" s="27" t="s">
        <ns0:v>2407</ns0:v>
      </ns0:c>
      <ns0:c r="B57" s="27" t="s">
        <ns0:v>2407</ns0:v>
      </ns0:c>
      <ns0:c r="C57" s="21" t="s">
        <ns0:v>2710</ns0:v>
      </ns0:c>
      <ns0:c r="D57" s="21" t="s">
        <ns0:v>2710</ns0:v>
      </ns0:c>
      <ns0:c r="E57" s="21" t="s">
        <ns0:v>2710</ns0:v>
      </ns0:c>
      <ns0:c r="F57" s="21" t="s">
        <ns0:v>2710</ns0:v>
      </ns0:c>
      <ns0:c r="G57" s="21" t="s">
        <ns0:v>2710</ns0:v>
      </ns0:c>
      <ns0:c r="H57" s="21" t="s">
        <ns0:v>2710</ns0:v>
      </ns0:c>
    </ns0:row>
    <ns0:row r="58" spans="1:8" ht="64.05" customHeight="1">
      <ns0:c r="A58" s="27" t="s">
        <ns0:v>2038</ns0:v>
      </ns0:c>
      <ns0:c r="B58" s="27" t="s">
        <ns0:v>2038</ns0:v>
      </ns0:c>
      <ns0:c r="C58" s="21" t="s">
        <ns0:v>2711</ns0:v>
      </ns0:c>
      <ns0:c r="D58" s="21" t="s">
        <ns0:v>2711</ns0:v>
      </ns0:c>
      <ns0:c r="E58" s="21" t="s">
        <ns0:v>2711</ns0:v>
      </ns0:c>
      <ns0:c r="F58" s="21" t="s">
        <ns0:v>2711</ns0:v>
      </ns0:c>
      <ns0:c r="G58" s="21" t="s">
        <ns0:v>2711</ns0:v>
      </ns0:c>
      <ns0:c r="H58" s="21" t="s">
        <ns0:v>2711</ns0:v>
      </ns0:c>
    </ns0:row>
    <ns0:row r="59" spans="1:8" ht="64.05" customHeight="1">
      <ns0:c r="A59" s="27" t="s">
        <ns0:v>2073</ns0:v>
      </ns0:c>
      <ns0:c r="B59" s="27" t="s">
        <ns0:v>2073</ns0:v>
      </ns0:c>
      <ns0:c r="C59" s="21" t="s">
        <ns0:v>2712</ns0:v>
      </ns0:c>
      <ns0:c r="D59" s="21" t="s">
        <ns0:v>2712</ns0:v>
      </ns0:c>
      <ns0:c r="E59" s="21" t="s">
        <ns0:v>2712</ns0:v>
      </ns0:c>
      <ns0:c r="F59" s="21" t="s">
        <ns0:v>2712</ns0:v>
      </ns0:c>
      <ns0:c r="G59" s="21" t="s">
        <ns0:v>2712</ns0:v>
      </ns0:c>
      <ns0:c r="H59" s="21" t="s">
        <ns0:v>2712</ns0:v>
      </ns0:c>
    </ns0:row>
    <ns0:row r="60" spans="1:8" ht="64.05" customHeight="1">
      <ns0:c r="A60" s="27" t="s">
        <ns0:v>2030</ns0:v>
      </ns0:c>
      <ns0:c r="B60" s="27" t="s">
        <ns0:v>2030</ns0:v>
      </ns0:c>
      <ns0:c r="C60" s="21" t="s">
        <ns0:v>2713</ns0:v>
      </ns0:c>
      <ns0:c r="D60" s="21" t="s">
        <ns0:v>2713</ns0:v>
      </ns0:c>
      <ns0:c r="E60" s="21" t="s">
        <ns0:v>2713</ns0:v>
      </ns0:c>
      <ns0:c r="F60" s="21" t="s">
        <ns0:v>2713</ns0:v>
      </ns0:c>
      <ns0:c r="G60" s="21" t="s">
        <ns0:v>2713</ns0:v>
      </ns0:c>
      <ns0:c r="H60" s="21" t="s">
        <ns0:v>2713</ns0:v>
      </ns0:c>
    </ns0:row>
    <ns0:row r="61" spans="1:8" ht="64.05" customHeight="1">
      <ns0:c r="A61" s="27" t="s">
        <ns0:v>2050</ns0:v>
      </ns0:c>
      <ns0:c r="B61" s="27" t="s">
        <ns0:v>2050</ns0:v>
      </ns0:c>
      <ns0:c r="C61" s="21" t="s">
        <ns0:v>2714</ns0:v>
      </ns0:c>
      <ns0:c r="D61" s="21" t="s">
        <ns0:v>2714</ns0:v>
      </ns0:c>
      <ns0:c r="E61" s="21" t="s">
        <ns0:v>2714</ns0:v>
      </ns0:c>
      <ns0:c r="F61" s="21" t="s">
        <ns0:v>2714</ns0:v>
      </ns0:c>
      <ns0:c r="G61" s="21" t="s">
        <ns0:v>2714</ns0:v>
      </ns0:c>
      <ns0:c r="H61" s="21" t="s">
        <ns0:v>2714</ns0:v>
      </ns0:c>
    </ns0:row>
    <ns0:row r="62" spans="1:8" ht="64.05" customHeight="1">
      <ns0:c r="A62" s="27" t="s">
        <ns0:v>2138</ns0:v>
      </ns0:c>
      <ns0:c r="B62" s="27" t="s">
        <ns0:v>2138</ns0:v>
      </ns0:c>
      <ns0:c r="C62" s="21" t="s">
        <ns0:v>2715</ns0:v>
      </ns0:c>
      <ns0:c r="D62" s="21" t="s">
        <ns0:v>2715</ns0:v>
      </ns0:c>
      <ns0:c r="E62" s="21" t="s">
        <ns0:v>2715</ns0:v>
      </ns0:c>
      <ns0:c r="F62" s="21" t="s">
        <ns0:v>2715</ns0:v>
      </ns0:c>
      <ns0:c r="G62" s="21" t="s">
        <ns0:v>2715</ns0:v>
      </ns0:c>
      <ns0:c r="H62" s="21" t="s">
        <ns0:v>2715</ns0:v>
      </ns0:c>
    </ns0:row>
    <ns0:row r="63" spans="1:8" ht="64.05" customHeight="1">
      <ns0:c r="A63" s="27" t="s">
        <ns0:v>2572</ns0:v>
      </ns0:c>
      <ns0:c r="B63" s="27" t="s">
        <ns0:v>2572</ns0:v>
      </ns0:c>
      <ns0:c r="C63" s="21" t="s">
        <ns0:v>2716</ns0:v>
      </ns0:c>
      <ns0:c r="D63" s="21" t="s">
        <ns0:v>2716</ns0:v>
      </ns0:c>
      <ns0:c r="E63" s="21" t="s">
        <ns0:v>2716</ns0:v>
      </ns0:c>
      <ns0:c r="F63" s="21" t="s">
        <ns0:v>2716</ns0:v>
      </ns0:c>
      <ns0:c r="G63" s="21" t="s">
        <ns0:v>2716</ns0:v>
      </ns0:c>
      <ns0:c r="H63" s="21" t="s">
        <ns0:v>2716</ns0:v>
      </ns0:c>
    </ns0:row>
    <ns0:row r="64" spans="1:8" ht="64.05" customHeight="1">
      <ns0:c r="A64" s="27" t="s">
        <ns0:v>2174</ns0:v>
      </ns0:c>
      <ns0:c r="B64" s="27" t="s">
        <ns0:v>2174</ns0:v>
      </ns0:c>
      <ns0:c r="C64" s="21" t="s">
        <ns0:v>2717</ns0:v>
      </ns0:c>
      <ns0:c r="D64" s="21" t="s">
        <ns0:v>2717</ns0:v>
      </ns0:c>
      <ns0:c r="E64" s="21" t="s">
        <ns0:v>2717</ns0:v>
      </ns0:c>
      <ns0:c r="F64" s="21" t="s">
        <ns0:v>2717</ns0:v>
      </ns0:c>
      <ns0:c r="G64" s="21" t="s">
        <ns0:v>2717</ns0:v>
      </ns0:c>
      <ns0:c r="H64" s="21" t="s">
        <ns0:v>2717</ns0:v>
      </ns0:c>
    </ns0:row>
    <ns0:row r="65" spans="1:8" ht="64.05" customHeight="1">
      <ns0:c r="A65" s="27" t="s">
        <ns0:v>2048</ns0:v>
      </ns0:c>
      <ns0:c r="B65" s="27" t="s">
        <ns0:v>2048</ns0:v>
      </ns0:c>
      <ns0:c r="C65" s="21" t="s">
        <ns0:v>2718</ns0:v>
      </ns0:c>
      <ns0:c r="D65" s="21" t="s">
        <ns0:v>2718</ns0:v>
      </ns0:c>
      <ns0:c r="E65" s="21" t="s">
        <ns0:v>2718</ns0:v>
      </ns0:c>
      <ns0:c r="F65" s="21" t="s">
        <ns0:v>2718</ns0:v>
      </ns0:c>
      <ns0:c r="G65" s="21" t="s">
        <ns0:v>2718</ns0:v>
      </ns0:c>
      <ns0:c r="H65" s="21" t="s">
        <ns0:v>2718</ns0:v>
      </ns0:c>
    </ns0:row>
    <ns0:row r="66" spans="1:8" ht="64.05" customHeight="1">
      <ns0:c r="A66" s="27" t="s">
        <ns0:v>2284</ns0:v>
      </ns0:c>
      <ns0:c r="B66" s="27" t="s">
        <ns0:v>2284</ns0:v>
      </ns0:c>
      <ns0:c r="C66" s="21" t="s">
        <ns0:v>2719</ns0:v>
      </ns0:c>
      <ns0:c r="D66" s="21" t="s">
        <ns0:v>2719</ns0:v>
      </ns0:c>
      <ns0:c r="E66" s="21" t="s">
        <ns0:v>2719</ns0:v>
      </ns0:c>
      <ns0:c r="F66" s="21" t="s">
        <ns0:v>2719</ns0:v>
      </ns0:c>
      <ns0:c r="G66" s="21" t="s">
        <ns0:v>2719</ns0:v>
      </ns0:c>
      <ns0:c r="H66" s="21" t="s">
        <ns0:v>2719</ns0:v>
      </ns0:c>
    </ns0:row>
    <ns0:row r="67" spans="1:8" ht="64.05" customHeight="1">
      <ns0:c r="A67" s="27" t="s">
        <ns0:v>2054</ns0:v>
      </ns0:c>
      <ns0:c r="B67" s="27" t="s">
        <ns0:v>2054</ns0:v>
      </ns0:c>
      <ns0:c r="C67" s="21" t="s">
        <ns0:v>2720</ns0:v>
      </ns0:c>
      <ns0:c r="D67" s="21" t="s">
        <ns0:v>2720</ns0:v>
      </ns0:c>
      <ns0:c r="E67" s="21" t="s">
        <ns0:v>2720</ns0:v>
      </ns0:c>
      <ns0:c r="F67" s="21" t="s">
        <ns0:v>2720</ns0:v>
      </ns0:c>
      <ns0:c r="G67" s="21" t="s">
        <ns0:v>2720</ns0:v>
      </ns0:c>
      <ns0:c r="H67" s="21" t="s">
        <ns0:v>2720</ns0:v>
      </ns0:c>
    </ns0:row>
    <ns0:row r="68" spans="1:8" ht="64.05" customHeight="1">
      <ns0:c r="A68" s="27" t="s">
        <ns0:v>2049</ns0:v>
      </ns0:c>
      <ns0:c r="B68" s="27" t="s">
        <ns0:v>2049</ns0:v>
      </ns0:c>
      <ns0:c r="C68" s="21" t="s">
        <ns0:v>2721</ns0:v>
      </ns0:c>
      <ns0:c r="D68" s="21" t="s">
        <ns0:v>2721</ns0:v>
      </ns0:c>
      <ns0:c r="E68" s="21" t="s">
        <ns0:v>2721</ns0:v>
      </ns0:c>
      <ns0:c r="F68" s="21" t="s">
        <ns0:v>2721</ns0:v>
      </ns0:c>
      <ns0:c r="G68" s="21" t="s">
        <ns0:v>2721</ns0:v>
      </ns0:c>
      <ns0:c r="H68" s="21" t="s">
        <ns0:v>2721</ns0:v>
      </ns0:c>
    </ns0:row>
    <ns0:row r="69" spans="1:8" ht="64.05" customHeight="1">
      <ns0:c r="A69" s="27" t="s">
        <ns0:v>2252</ns0:v>
      </ns0:c>
      <ns0:c r="B69" s="27" t="s">
        <ns0:v>2252</ns0:v>
      </ns0:c>
      <ns0:c r="C69" s="21" t="s">
        <ns0:v>2722</ns0:v>
      </ns0:c>
      <ns0:c r="D69" s="21" t="s">
        <ns0:v>2722</ns0:v>
      </ns0:c>
      <ns0:c r="E69" s="21" t="s">
        <ns0:v>2722</ns0:v>
      </ns0:c>
      <ns0:c r="F69" s="21" t="s">
        <ns0:v>2722</ns0:v>
      </ns0:c>
      <ns0:c r="G69" s="21" t="s">
        <ns0:v>2722</ns0:v>
      </ns0:c>
      <ns0:c r="H69" s="21" t="s">
        <ns0:v>2722</ns0:v>
      </ns0:c>
    </ns0:row>
    <ns0:row r="70" spans="1:8" ht="64.05" customHeight="1">
      <ns0:c r="A70" s="27" t="s">
        <ns0:v>2117</ns0:v>
      </ns0:c>
      <ns0:c r="B70" s="27" t="s">
        <ns0:v>2117</ns0:v>
      </ns0:c>
      <ns0:c r="C70" s="21" t="s">
        <ns0:v>2723</ns0:v>
      </ns0:c>
      <ns0:c r="D70" s="21" t="s">
        <ns0:v>2723</ns0:v>
      </ns0:c>
      <ns0:c r="E70" s="21" t="s">
        <ns0:v>2723</ns0:v>
      </ns0:c>
      <ns0:c r="F70" s="21" t="s">
        <ns0:v>2723</ns0:v>
      </ns0:c>
      <ns0:c r="G70" s="21" t="s">
        <ns0:v>2723</ns0:v>
      </ns0:c>
      <ns0:c r="H70" s="21" t="s">
        <ns0:v>2723</ns0:v>
      </ns0:c>
    </ns0:row>
    <ns0:row r="71" spans="1:8" ht="64.05" customHeight="1">
      <ns0:c r="A71" s="27" t="s">
        <ns0:v>2039</ns0:v>
      </ns0:c>
      <ns0:c r="B71" s="27" t="s">
        <ns0:v>2039</ns0:v>
      </ns0:c>
      <ns0:c r="C71" s="21" t="s">
        <ns0:v>2724</ns0:v>
      </ns0:c>
      <ns0:c r="D71" s="21" t="s">
        <ns0:v>2724</ns0:v>
      </ns0:c>
      <ns0:c r="E71" s="21" t="s">
        <ns0:v>2724</ns0:v>
      </ns0:c>
      <ns0:c r="F71" s="21" t="s">
        <ns0:v>2724</ns0:v>
      </ns0:c>
      <ns0:c r="G71" s="21" t="s">
        <ns0:v>2724</ns0:v>
      </ns0:c>
      <ns0:c r="H71" s="21" t="s">
        <ns0:v>2724</ns0:v>
      </ns0:c>
    </ns0:row>
    <ns0:row r="72" spans="1:8" ht="64.05" customHeight="1">
      <ns0:c r="A72" s="27" t="s">
        <ns0:v>2118</ns0:v>
      </ns0:c>
      <ns0:c r="B72" s="27" t="s">
        <ns0:v>2118</ns0:v>
      </ns0:c>
      <ns0:c r="C72" s="21" t="s">
        <ns0:v>2725</ns0:v>
      </ns0:c>
      <ns0:c r="D72" s="21" t="s">
        <ns0:v>2725</ns0:v>
      </ns0:c>
      <ns0:c r="E72" s="21" t="s">
        <ns0:v>2725</ns0:v>
      </ns0:c>
      <ns0:c r="F72" s="21" t="s">
        <ns0:v>2725</ns0:v>
      </ns0:c>
      <ns0:c r="G72" s="21" t="s">
        <ns0:v>2725</ns0:v>
      </ns0:c>
      <ns0:c r="H72" s="21" t="s">
        <ns0:v>2725</ns0:v>
      </ns0:c>
    </ns0:row>
    <ns0:row r="73" spans="1:8" ht="64.05" customHeight="1">
      <ns0:c r="A73" s="27" t="s">
        <ns0:v>2078</ns0:v>
      </ns0:c>
      <ns0:c r="B73" s="27" t="s">
        <ns0:v>2078</ns0:v>
      </ns0:c>
      <ns0:c r="C73" s="21" t="s">
        <ns0:v>2726</ns0:v>
      </ns0:c>
      <ns0:c r="D73" s="21" t="s">
        <ns0:v>2726</ns0:v>
      </ns0:c>
      <ns0:c r="E73" s="21" t="s">
        <ns0:v>2726</ns0:v>
      </ns0:c>
      <ns0:c r="F73" s="21" t="s">
        <ns0:v>2726</ns0:v>
      </ns0:c>
      <ns0:c r="G73" s="21" t="s">
        <ns0:v>2726</ns0:v>
      </ns0:c>
      <ns0:c r="H73" s="21" t="s">
        <ns0:v>2726</ns0:v>
      </ns0:c>
    </ns0:row>
    <ns0:row r="74" spans="1:8" ht="64.05" customHeight="1">
      <ns0:c r="A74" s="27" t="s">
        <ns0:v>2028</ns0:v>
      </ns0:c>
      <ns0:c r="B74" s="27" t="s">
        <ns0:v>2028</ns0:v>
      </ns0:c>
      <ns0:c r="C74" s="21" t="s">
        <ns0:v>2727</ns0:v>
      </ns0:c>
      <ns0:c r="D74" s="21" t="s">
        <ns0:v>2727</ns0:v>
      </ns0:c>
      <ns0:c r="E74" s="21" t="s">
        <ns0:v>2727</ns0:v>
      </ns0:c>
      <ns0:c r="F74" s="21" t="s">
        <ns0:v>2727</ns0:v>
      </ns0:c>
      <ns0:c r="G74" s="21" t="s">
        <ns0:v>2727</ns0:v>
      </ns0:c>
      <ns0:c r="H74" s="21" t="s">
        <ns0:v>2727</ns0:v>
      </ns0:c>
    </ns0:row>
    <ns0:row r="75" spans="1:8" ht="64.05" customHeight="1">
      <ns0:c r="A75" s="27" t="s">
        <ns0:v>2321</ns0:v>
      </ns0:c>
      <ns0:c r="B75" s="27" t="s">
        <ns0:v>2321</ns0:v>
      </ns0:c>
      <ns0:c r="C75" s="21" t="s">
        <ns0:v>2728</ns0:v>
      </ns0:c>
      <ns0:c r="D75" s="21" t="s">
        <ns0:v>2728</ns0:v>
      </ns0:c>
      <ns0:c r="E75" s="21" t="s">
        <ns0:v>2728</ns0:v>
      </ns0:c>
      <ns0:c r="F75" s="21" t="s">
        <ns0:v>2728</ns0:v>
      </ns0:c>
      <ns0:c r="G75" s="21" t="s">
        <ns0:v>2728</ns0:v>
      </ns0:c>
      <ns0:c r="H75" s="21" t="s">
        <ns0:v>2728</ns0:v>
      </ns0:c>
    </ns0:row>
    <ns0:row r="76" spans="1:8" ht="64.05" customHeight="1">
      <ns0:c r="A76" s="27" t="s">
        <ns0:v>2151</ns0:v>
      </ns0:c>
      <ns0:c r="B76" s="27" t="s">
        <ns0:v>2151</ns0:v>
      </ns0:c>
      <ns0:c r="C76" s="21" t="s">
        <ns0:v>2729</ns0:v>
      </ns0:c>
      <ns0:c r="D76" s="21" t="s">
        <ns0:v>2729</ns0:v>
      </ns0:c>
      <ns0:c r="E76" s="21" t="s">
        <ns0:v>2729</ns0:v>
      </ns0:c>
      <ns0:c r="F76" s="21" t="s">
        <ns0:v>2729</ns0:v>
      </ns0:c>
      <ns0:c r="G76" s="21" t="s">
        <ns0:v>2729</ns0:v>
      </ns0:c>
      <ns0:c r="H76" s="21" t="s">
        <ns0:v>2729</ns0:v>
      </ns0:c>
    </ns0:row>
    <ns0:row r="77" spans="1:8" ht="64.05" customHeight="1">
      <ns0:c r="A77" s="27" t="s">
        <ns0:v>2113</ns0:v>
      </ns0:c>
      <ns0:c r="B77" s="27" t="s">
        <ns0:v>2113</ns0:v>
      </ns0:c>
      <ns0:c r="C77" s="21" t="s">
        <ns0:v>2730</ns0:v>
      </ns0:c>
      <ns0:c r="D77" s="21" t="s">
        <ns0:v>2730</ns0:v>
      </ns0:c>
      <ns0:c r="E77" s="21" t="s">
        <ns0:v>2730</ns0:v>
      </ns0:c>
      <ns0:c r="F77" s="21" t="s">
        <ns0:v>2730</ns0:v>
      </ns0:c>
      <ns0:c r="G77" s="21" t="s">
        <ns0:v>2730</ns0:v>
      </ns0:c>
      <ns0:c r="H77" s="21" t="s">
        <ns0:v>2730</ns0:v>
      </ns0:c>
    </ns0:row>
    <ns0:row r="78" spans="1:8" ht="64.05" customHeight="1">
      <ns0:c r="A78" s="27" t="s">
        <ns0:v>2102</ns0:v>
      </ns0:c>
      <ns0:c r="B78" s="27" t="s">
        <ns0:v>2102</ns0:v>
      </ns0:c>
      <ns0:c r="C78" s="21" t="s">
        <ns0:v>2731</ns0:v>
      </ns0:c>
      <ns0:c r="D78" s="21" t="s">
        <ns0:v>2731</ns0:v>
      </ns0:c>
      <ns0:c r="E78" s="21" t="s">
        <ns0:v>2731</ns0:v>
      </ns0:c>
      <ns0:c r="F78" s="21" t="s">
        <ns0:v>2731</ns0:v>
      </ns0:c>
      <ns0:c r="G78" s="21" t="s">
        <ns0:v>2731</ns0:v>
      </ns0:c>
      <ns0:c r="H78" s="21" t="s">
        <ns0:v>2731</ns0:v>
      </ns0:c>
    </ns0:row>
    <ns0:row r="79" spans="1:8" ht="64.05" customHeight="1">
      <ns0:c r="A79" s="27" t="s">
        <ns0:v>2063</ns0:v>
      </ns0:c>
      <ns0:c r="B79" s="27" t="s">
        <ns0:v>2063</ns0:v>
      </ns0:c>
      <ns0:c r="C79" s="21" t="s">
        <ns0:v>2732</ns0:v>
      </ns0:c>
      <ns0:c r="D79" s="21" t="s">
        <ns0:v>2732</ns0:v>
      </ns0:c>
      <ns0:c r="E79" s="21" t="s">
        <ns0:v>2732</ns0:v>
      </ns0:c>
      <ns0:c r="F79" s="21" t="s">
        <ns0:v>2732</ns0:v>
      </ns0:c>
      <ns0:c r="G79" s="21" t="s">
        <ns0:v>2732</ns0:v>
      </ns0:c>
      <ns0:c r="H79" s="21" t="s">
        <ns0:v>2732</ns0:v>
      </ns0:c>
    </ns0:row>
    <ns0:row r="80" spans="1:8" ht="64.05" customHeight="1">
      <ns0:c r="A80" s="27" t="s">
        <ns0:v>2082</ns0:v>
      </ns0:c>
      <ns0:c r="B80" s="27" t="s">
        <ns0:v>2082</ns0:v>
      </ns0:c>
      <ns0:c r="C80" s="21" t="s">
        <ns0:v>2733</ns0:v>
      </ns0:c>
      <ns0:c r="D80" s="21" t="s">
        <ns0:v>2733</ns0:v>
      </ns0:c>
      <ns0:c r="E80" s="21" t="s">
        <ns0:v>2733</ns0:v>
      </ns0:c>
      <ns0:c r="F80" s="21" t="s">
        <ns0:v>2733</ns0:v>
      </ns0:c>
      <ns0:c r="G80" s="21" t="s">
        <ns0:v>2733</ns0:v>
      </ns0:c>
      <ns0:c r="H80" s="21" t="s">
        <ns0:v>2733</ns0:v>
      </ns0:c>
    </ns0:row>
    <ns0:row r="81" spans="1:8" ht="64.05" customHeight="1">
      <ns0:c r="A81" s="27" t="s">
        <ns0:v>2224</ns0:v>
      </ns0:c>
      <ns0:c r="B81" s="27" t="s">
        <ns0:v>2224</ns0:v>
      </ns0:c>
      <ns0:c r="C81" s="21" t="s">
        <ns0:v>2734</ns0:v>
      </ns0:c>
      <ns0:c r="D81" s="21" t="s">
        <ns0:v>2734</ns0:v>
      </ns0:c>
      <ns0:c r="E81" s="21" t="s">
        <ns0:v>2734</ns0:v>
      </ns0:c>
      <ns0:c r="F81" s="21" t="s">
        <ns0:v>2734</ns0:v>
      </ns0:c>
      <ns0:c r="G81" s="21" t="s">
        <ns0:v>2734</ns0:v>
      </ns0:c>
      <ns0:c r="H81" s="21" t="s">
        <ns0:v>2734</ns0:v>
      </ns0:c>
    </ns0:row>
    <ns0:row r="82" spans="1:8" ht="64.05" customHeight="1">
      <ns0:c r="A82" s="28" t="s">
        <ns0:v>2029</ns0:v>
      </ns0:c>
      <ns0:c r="B82" s="28" t="s">
        <ns0:v>2029</ns0:v>
      </ns0:c>
      <ns0:c r="C82" s="21" t="s">
        <ns0:v>2735</ns0:v>
      </ns0:c>
      <ns0:c r="D82" s="21" t="s">
        <ns0:v>2735</ns0:v>
      </ns0:c>
      <ns0:c r="E82" s="21" t="s">
        <ns0:v>2735</ns0:v>
      </ns0:c>
      <ns0:c r="F82" s="21" t="s">
        <ns0:v>2735</ns0:v>
      </ns0:c>
      <ns0:c r="G82" s="21" t="s">
        <ns0:v>2735</ns0:v>
      </ns0:c>
      <ns0:c r="H82" s="21" t="s">
        <ns0:v>2735</ns0:v>
      </ns0:c>
    </ns0:row>
    <ns0:row r="83" spans="1:8" ht="64.05" customHeight="1">
      <ns0:c r="A83" s="28" t="s">
        <ns0:v>2077</ns0:v>
      </ns0:c>
      <ns0:c r="B83" s="28" t="s">
        <ns0:v>2077</ns0:v>
      </ns0:c>
      <ns0:c r="C83" s="21" t="s">
        <ns0:v>2736</ns0:v>
      </ns0:c>
      <ns0:c r="D83" s="21" t="s">
        <ns0:v>2736</ns0:v>
      </ns0:c>
      <ns0:c r="E83" s="21" t="s">
        <ns0:v>2736</ns0:v>
      </ns0:c>
      <ns0:c r="F83" s="21" t="s">
        <ns0:v>2736</ns0:v>
      </ns0:c>
      <ns0:c r="G83" s="21" t="s">
        <ns0:v>2736</ns0:v>
      </ns0:c>
      <ns0:c r="H83" s="21" t="s">
        <ns0:v>2736</ns0:v>
      </ns0:c>
    </ns0:row>
    <ns0:row r="84" spans="1:8" ht="64.05" customHeight="1">
      <ns0:c r="A84" s="28" t="s">
        <ns0:v>2058</ns0:v>
      </ns0:c>
      <ns0:c r="B84" s="28" t="s">
        <ns0:v>2058</ns0:v>
      </ns0:c>
      <ns0:c r="C84" s="21" t="s">
        <ns0:v>2737</ns0:v>
      </ns0:c>
      <ns0:c r="D84" s="21" t="s">
        <ns0:v>2737</ns0:v>
      </ns0:c>
      <ns0:c r="E84" s="21" t="s">
        <ns0:v>2737</ns0:v>
      </ns0:c>
      <ns0:c r="F84" s="21" t="s">
        <ns0:v>2737</ns0:v>
      </ns0:c>
      <ns0:c r="G84" s="21" t="s">
        <ns0:v>2737</ns0:v>
      </ns0:c>
      <ns0:c r="H84" s="21" t="s">
        <ns0:v>2737</ns0:v>
      </ns0:c>
    </ns0:row>
    <ns0:row r="85" spans="1:8" ht="64.05" customHeight="1">
      <ns0:c r="A85" s="28" t="s">
        <ns0:v>2109</ns0:v>
      </ns0:c>
      <ns0:c r="B85" s="28" t="s">
        <ns0:v>2109</ns0:v>
      </ns0:c>
      <ns0:c r="C85" s="21" t="s">
        <ns0:v>2738</ns0:v>
      </ns0:c>
      <ns0:c r="D85" s="21" t="s">
        <ns0:v>2738</ns0:v>
      </ns0:c>
      <ns0:c r="E85" s="21" t="s">
        <ns0:v>2738</ns0:v>
      </ns0:c>
      <ns0:c r="F85" s="21" t="s">
        <ns0:v>2738</ns0:v>
      </ns0:c>
      <ns0:c r="G85" s="21" t="s">
        <ns0:v>2738</ns0:v>
      </ns0:c>
      <ns0:c r="H85" s="21" t="s">
        <ns0:v>2738</ns0:v>
      </ns0:c>
    </ns0:row>
    <ns0:row r="86" spans="1:8" ht="64.05" customHeight="1">
      <ns0:c r="A86" s="28" t="s">
        <ns0:v>2465</ns0:v>
      </ns0:c>
      <ns0:c r="B86" s="28" t="s">
        <ns0:v>2465</ns0:v>
      </ns0:c>
      <ns0:c r="C86" s="21" t="s">
        <ns0:v>2739</ns0:v>
      </ns0:c>
      <ns0:c r="D86" s="21" t="s">
        <ns0:v>2739</ns0:v>
      </ns0:c>
      <ns0:c r="E86" s="21" t="s">
        <ns0:v>2739</ns0:v>
      </ns0:c>
      <ns0:c r="F86" s="21" t="s">
        <ns0:v>2739</ns0:v>
      </ns0:c>
      <ns0:c r="G86" s="21" t="s">
        <ns0:v>2739</ns0:v>
      </ns0:c>
      <ns0:c r="H86" s="21" t="s">
        <ns0:v>2739</ns0:v>
      </ns0:c>
    </ns0:row>
    <ns0:row r="87" spans="1:8" ht="64.05" customHeight="1">
      <ns0:c r="A87" s="27" t="s">
        <ns0:v>2158</ns0:v>
      </ns0:c>
      <ns0:c r="B87" s="27" t="s">
        <ns0:v>2158</ns0:v>
      </ns0:c>
      <ns0:c r="C87" s="21" t="s">
        <ns0:v>2740</ns0:v>
      </ns0:c>
      <ns0:c r="D87" s="21" t="s">
        <ns0:v>2740</ns0:v>
      </ns0:c>
      <ns0:c r="E87" s="21" t="s">
        <ns0:v>2740</ns0:v>
      </ns0:c>
      <ns0:c r="F87" s="21" t="s">
        <ns0:v>2740</ns0:v>
      </ns0:c>
      <ns0:c r="G87" s="21" t="s">
        <ns0:v>2740</ns0:v>
      </ns0:c>
      <ns0:c r="H87" s="21" t="s">
        <ns0:v>2740</ns0:v>
      </ns0:c>
    </ns0:row>
    <ns0:row r="90" ht="32" customHeight="1">
      <ns0:c r="A90" s="78" t="str">
        <ns0:v>要素の組み合わせの読み方</ns0:v>
      </ns0:c>
      <ns0:c r="B90" s="78" t="str">
        <ns0:v>要素の組み合わせの読み方</ns0:v>
      </ns0:c>
      <ns0:c r="C90" s="78" t="str">
        <ns0:v>要素の組み合わせの読み方</ns0:v>
      </ns0:c>
      <ns0:c r="D90" s="78" t="str">
        <ns0:v>要素の組み合わせの読み方</ns0:v>
      </ns0:c>
      <ns0:c r="E90" s="78" t="str">
        <ns0:v>要素の組み合わせの読み方</ns0:v>
      </ns0:c>
      <ns0:c r="F90" s="78" t="str">
        <ns0:v>要素の組み合わせの読み方</ns0:v>
      </ns0:c>
      <ns0:c r="G90" s="78" t="str">
        <ns0:v>要素の組み合わせの読み方</ns0:v>
      </ns0:c>
      <ns0:c r="H90" s="78" t="str">
        <ns0:v>要素の組み合わせの読み方</ns0:v>
      </ns0:c>
    </ns0:row>
    <ns0:row r="91" ht="54" customHeight="1">
      <ns0:c r="A91" s="66" t="str">
        <ns0:v>「作品ベース分類」のS〜Y列に追記。S列は中心活動×能力・目的・見せ方×人物の性格・関係。旧来の主・副ベースの数制限とは別に、面白さを説明する主要要素を選んでいます。</ns0:v>
      </ns0:c>
      <ns0:c r="B91" s="66" t="str">
        <ns0:v>「作品ベース分類」のS〜Y列に追記。S列は中心活動×能力・目的・見せ方×人物の性格・関係。旧来の主・副ベースの数制限とは別に、面白さを説明する主要要素を選んでいます。</ns0:v>
      </ns0:c>
      <ns0:c r="C91" s="66" t="str">
        <ns0:v>「作品ベース分類」のS〜Y列に追記。S列は中心活動×能力・目的・見せ方×人物の性格・関係。旧来の主・副ベースの数制限とは別に、面白さを説明する主要要素を選んでいます。</ns0:v>
      </ns0:c>
      <ns0:c r="D91" s="66" t="str">
        <ns0:v>「作品ベース分類」のS〜Y列に追記。S列は中心活動×能力・目的・見せ方×人物の性格・関係。旧来の主・副ベースの数制限とは別に、面白さを説明する主要要素を選んでいます。</ns0:v>
      </ns0:c>
      <ns0:c r="E91" s="66" t="str">
        <ns0:v>「作品ベース分類」のS〜Y列に追記。S列は中心活動×能力・目的・見せ方×人物の性格・関係。旧来の主・副ベースの数制限とは別に、面白さを説明する主要要素を選んでいます。</ns0:v>
      </ns0:c>
      <ns0:c r="F91" s="66" t="str">
        <ns0:v>「作品ベース分類」のS〜Y列に追記。S列は中心活動×能力・目的・見せ方×人物の性格・関係。旧来の主・副ベースの数制限とは別に、面白さを説明する主要要素を選んでいます。</ns0:v>
      </ns0:c>
      <ns0:c r="G91" s="66" t="str">
        <ns0:v>「作品ベース分類」のS〜Y列に追記。S列は中心活動×能力・目的・見せ方×人物の性格・関係。旧来の主・副ベースの数制限とは別に、面白さを説明する主要要素を選んでいます。</ns0:v>
      </ns0:c>
      <ns0:c r="H91" s="66" t="str">
        <ns0:v>「作品ベース分類」のS〜Y列に追記。S列は中心活動×能力・目的・見せ方×人物の性格・関係。旧来の主・副ベースの数制限とは別に、面白さを説明する主要要素を選んでいます。</ns0:v>
      </ns0:c>
    </ns0:row>
    <ns0:row r="92" ht="54" customHeight="1">
      <ns0:c r="A92" s="84" t="str">
        <ns0:v>性格は持ち主を区別。主人公のコミュ障、相手役の独占欲、両者の認識差など、要素が誰に属し、どう作用するかを記載しています。職業・年齢・病気・外見だけで性格は決めていません。</ns0:v>
      </ns0:c>
      <ns0:c r="B92" s="84" t="str">
        <ns0:v>性格は持ち主を区別。主人公のコミュ障、相手役の独占欲、両者の認識差など、要素が誰に属し、どう作用するかを記載しています。職業・年齢・病気・外見だけで性格は決めていません。</ns0:v>
      </ns0:c>
      <ns0:c r="C92" s="84" t="str">
        <ns0:v>性格は持ち主を区別。主人公のコミュ障、相手役の独占欲、両者の認識差など、要素が誰に属し、どう作用するかを記載しています。職業・年齢・病気・外見だけで性格は決めていません。</ns0:v>
      </ns0:c>
      <ns0:c r="D92" s="84" t="str">
        <ns0:v>性格は持ち主を区別。主人公のコミュ障、相手役の独占欲、両者の認識差など、要素が誰に属し、どう作用するかを記載しています。職業・年齢・病気・外見だけで性格は決めていません。</ns0:v>
      </ns0:c>
      <ns0:c r="E92" s="84" t="str">
        <ns0:v>性格は持ち主を区別。主人公のコミュ障、相手役の独占欲、両者の認識差など、要素が誰に属し、どう作用するかを記載しています。職業・年齢・病気・外見だけで性格は決めていません。</ns0:v>
      </ns0:c>
      <ns0:c r="F92" s="84" t="str">
        <ns0:v>性格は持ち主を区別。主人公のコミュ障、相手役の独占欲、両者の認識差など、要素が誰に属し、どう作用するかを記載しています。職業・年齢・病気・外見だけで性格は決めていません。</ns0:v>
      </ns0:c>
      <ns0:c r="G92" s="84" t="str">
        <ns0:v>性格は持ち主を区別。主人公のコミュ障、相手役の独占欲、両者の認識差など、要素が誰に属し、どう作用するかを記載しています。職業・年齢・病気・外見だけで性格は決めていません。</ns0:v>
      </ns0:c>
      <ns0:c r="H92" s="84" t="str">
        <ns0:v>性格は持ち主を区別。主人公のコミュ障、相手役の独占欲、両者の認識差など、要素が誰に属し、どう作用するかを記載しています。職業・年齢・病気・外見だけで性格は決めていません。</ns0:v>
      </ns0:c>
    </ns0:row>
    <ns0:row r="93" ht="54" customHeight="1">
      <ns0:c r="A93" s="66" t="str">
        <ns0:v>V列は面白さが生まれる関係、W列は読者が待つ反応や達成の仮説。X列は紹介から分かる反復・変化の範囲です。作品の本文で実現される面白さや、順位への因果関係は未検証です。</ns0:v>
      </ns0:c>
      <ns0:c r="B93" s="66" t="str">
        <ns0:v>V列は面白さが生まれる関係、W列は読者が待つ反応や達成の仮説。X列は紹介から分かる反復・変化の範囲です。作品の本文で実現される面白さや、順位への因果関係は未検証です。</ns0:v>
      </ns0:c>
      <ns0:c r="C93" s="66" t="str">
        <ns0:v>V列は面白さが生まれる関係、W列は読者が待つ反応や達成の仮説。X列は紹介から分かる反復・変化の範囲です。作品の本文で実現される面白さや、順位への因果関係は未検証です。</ns0:v>
      </ns0:c>
      <ns0:c r="D93" s="66" t="str">
        <ns0:v>V列は面白さが生まれる関係、W列は読者が待つ反応や達成の仮説。X列は紹介から分かる反復・変化の範囲です。作品の本文で実現される面白さや、順位への因果関係は未検証です。</ns0:v>
      </ns0:c>
      <ns0:c r="E93" s="66" t="str">
        <ns0:v>V列は面白さが生まれる関係、W列は読者が待つ反応や達成の仮説。X列は紹介から分かる反復・変化の範囲です。作品の本文で実現される面白さや、順位への因果関係は未検証です。</ns0:v>
      </ns0:c>
      <ns0:c r="F93" s="66" t="str">
        <ns0:v>V列は面白さが生まれる関係、W列は読者が待つ反応や達成の仮説。X列は紹介から分かる反復・変化の範囲です。作品の本文で実現される面白さや、順位への因果関係は未検証です。</ns0:v>
      </ns0:c>
      <ns0:c r="G93" s="66" t="str">
        <ns0:v>V列は面白さが生まれる関係、W列は読者が待つ反応や達成の仮説。X列は紹介から分かる反復・変化の範囲です。作品の本文で実現される面白さや、順位への因果関係は未検証です。</ns0:v>
      </ns0:c>
      <ns0:c r="H93" s="66" t="str">
        <ns0:v>V列は面白さが生まれる関係、W列は読者が待つ反応や達成の仮説。X列は紹介から分かる反復・変化の範囲です。作品の本文で実現される面白さや、順位への因果関係は未検証です。</ns0:v>
      </ns0:c>
    </ns0:row>
    <ns0:row r="94" ht="54" customHeight="1">
      <ns0:c r="A94" s="84" t="str">
        <ns0:v>ヤンデレ・溺愛等がタグだけの場合、対象人物や具体的な行動の未確認をY列に明記。情報が薄い作品に、独自の性格や隠れた事情を創作して補ってはいません。</ns0:v>
      </ns0:c>
      <ns0:c r="B94" s="84" t="str">
        <ns0:v>ヤンデレ・溺愛等がタグだけの場合、対象人物や具体的な行動の未確認をY列に明記。情報が薄い作品に、独自の性格や隠れた事情を創作して補ってはいません。</ns0:v>
      </ns0:c>
      <ns0:c r="C94" s="84" t="str">
        <ns0:v>ヤンデレ・溺愛等がタグだけの場合、対象人物や具体的な行動の未確認をY列に明記。情報が薄い作品に、独自の性格や隠れた事情を創作して補ってはいません。</ns0:v>
      </ns0:c>
      <ns0:c r="D94" s="84" t="str">
        <ns0:v>ヤンデレ・溺愛等がタグだけの場合、対象人物や具体的な行動の未確認をY列に明記。情報が薄い作品に、独自の性格や隠れた事情を創作して補ってはいません。</ns0:v>
      </ns0:c>
      <ns0:c r="E94" s="84" t="str">
        <ns0:v>ヤンデレ・溺愛等がタグだけの場合、対象人物や具体的な行動の未確認をY列に明記。情報が薄い作品に、独自の性格や隠れた事情を創作して補ってはいません。</ns0:v>
      </ns0:c>
      <ns0:c r="F94" s="84" t="str">
        <ns0:v>ヤンデレ・溺愛等がタグだけの場合、対象人物や具体的な行動の未確認をY列に明記。情報が薄い作品に、独自の性格や隠れた事情を創作して補ってはいません。</ns0:v>
      </ns0:c>
      <ns0:c r="G94" s="84" t="str">
        <ns0:v>ヤンデレ・溺愛等がタグだけの場合、対象人物や具体的な行動の未確認をY列に明記。情報が薄い作品に、独自の性格や隠れた事情を創作して補ってはいません。</ns0:v>
      </ns0:c>
      <ns0:c r="H94" s="84" t="str">
        <ns0:v>ヤンデレ・溺愛等がタグだけの場合、対象人物や具体的な行動の未確認をY列に明記。情報が薄い作品に、独自の性格や隠れた事情を創作して補ってはいません。</ns0:v>
      </ns0:c>
    </ns0:row>
    <ns0:row r="95" ht="54" customHeight="1">
      <ns0:c r="A95" s="66" t="str">
        <ns0:v>同じ救助×配信でも、現代ファンタジー週間32位は青年とタヌキの掛け合い、週間62位は推し救助から重い好意への反転が紹介されています。要素の有無に加えて、その結びつきで比較できます。</ns0:v>
      </ns0:c>
      <ns0:c r="B95" s="66" t="str">
        <ns0:v>同じ救助×配信でも、現代ファンタジー週間32位は青年とタヌキの掛け合い、週間62位は推し救助から重い好意への反転が紹介されています。要素の有無に加えて、その結びつきで比較できます。</ns0:v>
      </ns0:c>
      <ns0:c r="C95" s="66" t="str">
        <ns0:v>同じ救助×配信でも、現代ファンタジー週間32位は青年とタヌキの掛け合い、週間62位は推し救助から重い好意への反転が紹介されています。要素の有無に加えて、その結びつきで比較できます。</ns0:v>
      </ns0:c>
      <ns0:c r="D95" s="66" t="str">
        <ns0:v>同じ救助×配信でも、現代ファンタジー週間32位は青年とタヌキの掛け合い、週間62位は推し救助から重い好意への反転が紹介されています。要素の有無に加えて、その結びつきで比較できます。</ns0:v>
      </ns0:c>
      <ns0:c r="E95" s="66" t="str">
        <ns0:v>同じ救助×配信でも、現代ファンタジー週間32位は青年とタヌキの掛け合い、週間62位は推し救助から重い好意への反転が紹介されています。要素の有無に加えて、その結びつきで比較できます。</ns0:v>
      </ns0:c>
      <ns0:c r="F95" s="66" t="str">
        <ns0:v>同じ救助×配信でも、現代ファンタジー週間32位は青年とタヌキの掛け合い、週間62位は推し救助から重い好意への反転が紹介されています。要素の有無に加えて、その結びつきで比較できます。</ns0:v>
      </ns0:c>
      <ns0:c r="G95" s="66" t="str">
        <ns0:v>同じ救助×配信でも、現代ファンタジー週間32位は青年とタヌキの掛け合い、週間62位は推し救助から重い好意への反転が紹介されています。要素の有無に加えて、その結びつきで比較できます。</ns0:v>
      </ns0:c>
      <ns0:c r="H95" s="66" t="str">
        <ns0:v>同じ救助×配信でも、現代ファンタジー週間32位は青年とタヌキの掛け合い、週間62位は推し救助から重い好意への反転が紹介されています。要素の有無に加えて、その結びつきで比較できます。</ns0:v>
      </ns0:c>
    </ns0:row>
    <ns0:row r="97" ht="42" customHeight="1">
      <ns0:c r="A97" s="87" t="str">
        <ns0:v>参考作：配信に致命的に向いていない女の子が迷宮で黙々と人助けする配信</ns0:v>
      </ns0:c>
      <ns0:c r="B97" s="87" t="str">
        <ns0:v>参考作：配信に致命的に向いていない女の子が迷宮で黙々と人助けする配信</ns0:v>
      </ns0:c>
      <ns0:c r="C97" s="87" t="str">
        <ns0:v>参考作：配信に致命的に向いていない女の子が迷宮で黙々と人助けする配信</ns0:v>
      </ns0:c>
      <ns0:c r="D97" s="87" t="str">
        <ns0:v>参考作：配信に致命的に向いていない女の子が迷宮で黙々と人助けする配信</ns0:v>
      </ns0:c>
      <ns0:c r="E97" s="87" t="str">
        <ns0:v>参考作：配信に致命的に向いていない女の子が迷宮で黙々と人助けする配信</ns0:v>
      </ns0:c>
      <ns0:c r="F97" s="87" t="str">
        <ns0:v>参考作：配信に致命的に向いていない女の子が迷宮で黙々と人助けする配信</ns0:v>
      </ns0:c>
      <ns0:c r="G97" s="87" t="str">
        <ns0:v>参考作：配信に致命的に向いていない女の子が迷宮で黙々と人助けする配信</ns0:v>
      </ns0:c>
      <ns0:c r="H97" s="87" t="str">
        <ns0:v>参考作：配信に致命的に向いていない女の子が迷宮で黙々と人助けする配信</ns0:v>
      </ns0:c>
    </ns0:row>
    <ns0:row r="98" ht="54" customHeight="1">
      <ns0:c r="A98" s="90" t="str">
        <ns0:v>組み合わせ</ns0:v>
      </ns0:c>
      <ns0:c r="B98" s="90" t="str">
        <ns0:v>組み合わせ</ns0:v>
      </ns0:c>
      <ns0:c r="C98" s="66" t="str">
        <ns0:v>配信×救助×無双×コミュ障の女の子×人助けを当然とする善意×温かく見守るリスナー</ns0:v>
      </ns0:c>
      <ns0:c r="D98" s="66" t="str">
        <ns0:v>配信×救助×無双×コミュ障の女の子×人助けを当然とする善意×温かく見守るリスナー</ns0:v>
      </ns0:c>
      <ns0:c r="E98" s="66" t="str">
        <ns0:v>配信×救助×無双×コミュ障の女の子×人助けを当然とする善意×温かく見守るリスナー</ns0:v>
      </ns0:c>
      <ns0:c r="F98" s="66" t="str">
        <ns0:v>配信×救助×無双×コミュ障の女の子×人助けを当然とする善意×温かく見守るリスナー</ns0:v>
      </ns0:c>
      <ns0:c r="G98" s="66" t="str">
        <ns0:v>配信×救助×無双×コミュ障の女の子×人助けを当然とする善意×温かく見守るリスナー</ns0:v>
      </ns0:c>
      <ns0:c r="H98" s="66" t="str">
        <ns0:v>配信×救助×無双×コミュ障の女の子×人助けを当然とする善意×温かく見守るリスナー</ns0:v>
      </ns0:c>
    </ns0:row>
    <ns0:row r="99" ht="68" customHeight="1">
      <ns0:c r="A99" s="90" t="str">
        <ns0:v>人物の性格と関係</ns0:v>
      </ns0:c>
      <ns0:c r="B99" s="90" t="str">
        <ns0:v>人物の性格と関係</ns0:v>
      </ns0:c>
      <ns0:c r="C99" s="66" t="str">
        <ns0:v>主人公は戦闘に優れ、会話は不器用で人助けに熱心。リスナーは親身に見守る。探索映像の公開が制度上必要なため、話すのが苦手でも配信する理由がある。</ns0:v>
      </ns0:c>
      <ns0:c r="D99" s="66" t="str">
        <ns0:v>主人公は戦闘に優れ、会話は不器用で人助けに熱心。リスナーは親身に見守る。探索映像の公開が制度上必要なため、話すのが苦手でも配信する理由がある。</ns0:v>
      </ns0:c>
      <ns0:c r="E99" s="66" t="str">
        <ns0:v>主人公は戦闘に優れ、会話は不器用で人助けに熱心。リスナーは親身に見守る。探索映像の公開が制度上必要なため、話すのが苦手でも配信する理由がある。</ns0:v>
      </ns0:c>
      <ns0:c r="F99" s="66" t="str">
        <ns0:v>主人公は戦闘に優れ、会話は不器用で人助けに熱心。リスナーは親身に見守る。探索映像の公開が制度上必要なため、話すのが苦手でも配信する理由がある。</ns0:v>
      </ns0:c>
      <ns0:c r="G99" s="66" t="str">
        <ns0:v>主人公は戦闘に優れ、会話は不器用で人助けに熱心。リスナーは親身に見守る。探索映像の公開が制度上必要なため、話すのが苦手でも配信する理由がある。</ns0:v>
      </ns0:c>
      <ns0:c r="H99" s="66" t="str">
        <ns0:v>主人公は戦闘に優れ、会話は不器用で人助けに熱心。リスナーは親身に見守る。探索映像の公開が制度上必要なため、話すのが苦手でも配信する理由がある。</ns0:v>
      </ns0:c>
    </ns0:row>
    <ns0:row r="100" ht="68" customHeight="1">
      <ns0:c r="A100" s="90" t="str">
        <ns0:v>面白さの関係</ns0:v>
      </ns0:c>
      <ns0:c r="B100" s="90" t="str">
        <ns0:v>面白さの関係</ns0:v>
      </ns0:c>
      <ns0:c r="C100" s="66" t="str">
        <ns0:v>危機の中では頼もしい少女が、会話では不器用さを見せる。救助へのまっすぐさを視聴者と一緒に見守れるため、強さへの爽快感に愛着が加わる。</ns0:v>
      </ns0:c>
      <ns0:c r="D100" s="66" t="str">
        <ns0:v>危機の中では頼もしい少女が、会話では不器用さを見せる。救助へのまっすぐさを視聴者と一緒に見守れるため、強さへの爽快感に愛着が加わる。</ns0:v>
      </ns0:c>
      <ns0:c r="E100" s="66" t="str">
        <ns0:v>危機の中では頼もしい少女が、会話では不器用さを見せる。救助へのまっすぐさを視聴者と一緒に見守れるため、強さへの爽快感に愛着が加わる。</ns0:v>
      </ns0:c>
      <ns0:c r="F100" s="66" t="str">
        <ns0:v>危機の中では頼もしい少女が、会話では不器用さを見せる。救助へのまっすぐさを視聴者と一緒に見守れるため、強さへの爽快感に愛着が加わる。</ns0:v>
      </ns0:c>
      <ns0:c r="G100" s="66" t="str">
        <ns0:v>危機の中では頼もしい少女が、会話では不器用さを見せる。救助へのまっすぐさを視聴者と一緒に見守れるため、強さへの爽快感に愛着が加わる。</ns0:v>
      </ns0:c>
      <ns0:c r="H100" s="66" t="str">
        <ns0:v>危機の中では頼もしい少女が、会話では不器用さを見せる。救助へのまっすぐさを視聴者と一緒に見守れるため、強さへの爽快感に愛着が加わる。</ns0:v>
      </ns0:c>
    </ns0:row>
    <ns0:row r="101" ht="54" customHeight="1">
      <ns0:c r="A101" s="90" t="str">
        <ns0:v>反復と変化の手掛かり</ns0:v>
      </ns0:c>
      <ns0:c r="B101" s="90" t="str">
        <ns0:v>反復と変化の手掛かり</ns0:v>
      </ns0:c>
      <ns0:c r="C101" s="66" t="str">
        <ns0:v>救助の反復に加えて、大手医療組織から人命救助の仕事へ誘われると紹介。以後の関係発展や展開は本文未確認。</ns0:v>
      </ns0:c>
      <ns0:c r="D101" s="66" t="str">
        <ns0:v>救助の反復に加えて、大手医療組織から人命救助の仕事へ誘われると紹介。以後の関係発展や展開は本文未確認。</ns0:v>
      </ns0:c>
      <ns0:c r="E101" s="66" t="str">
        <ns0:v>救助の反復に加えて、大手医療組織から人命救助の仕事へ誘われると紹介。以後の関係発展や展開は本文未確認。</ns0:v>
      </ns0:c>
      <ns0:c r="F101" s="66" t="str">
        <ns0:v>救助の反復に加えて、大手医療組織から人命救助の仕事へ誘われると紹介。以後の関係発展や展開は本文未確認。</ns0:v>
      </ns0:c>
      <ns0:c r="G101" s="66" t="str">
        <ns0:v>救助の反復に加えて、大手医療組織から人命救助の仕事へ誘われると紹介。以後の関係発展や展開は本文未確認。</ns0:v>
      </ns0:c>
      <ns0:c r="H101" s="66" t="str">
        <ns0:v>救助の反復に加えて、大手医療組織から人命救助の仕事へ誘われると紹介。以後の関係発展や展開は本文未確認。</ns0:v>
      </ns0:c>
    </ns0:row>
    <ns0:row r="102" ht="54" customHeight="1">
      <ns0:c r="A102" s="90" t="str">
        <ns0:v>出典・確認範囲</ns0:v>
      </ns0:c>
      <ns0:c r="B102" s="90" t="str">
        <ns0:v>出典・確認範囲</ns0:v>
      </ns0:c>
      <ns0:c r="C102" s="91" t="str">
        <ns0:v>https://kakuyomu.jp/works/16817330664244660994</ns0:v>
      </ns0:c>
      <ns0:c r="D102" s="66" t="str">
        <ns0:v>https://kakuyomu.jp/works/16817330664244660994</ns0:v>
      </ns0:c>
      <ns0:c r="E102" s="66" t="str">
        <ns0:v>https://kakuyomu.jp/works/16817330664244660994</ns0:v>
      </ns0:c>
      <ns0:c r="F102" s="66" t="str">
        <ns0:v>https://kakuyomu.jp/works/16817330664244660994</ns0:v>
      </ns0:c>
      <ns0:c r="G102" s="66" t="str">
        <ns0:v>https://kakuyomu.jp/works/16817330664244660994</ns0:v>
      </ns0:c>
      <ns0:c r="H102" s="66" t="str">
        <ns0:v>https://kakuyomu.jp/works/16817330664244660994</ns0:v>
      </ns0:c>
    </ns0:row>
    <ns0:row r="103" ht="68" customHeight="1">
      <ns0:c r="A103" s="90" t="str">
        <ns0:v>集計上の扱い</ns0:v>
      </ns0:c>
      <ns0:c r="B103" s="90" t="str">
        <ns0:v>集計上の扱い</ns0:v>
      </ns0:c>
      <ns0:c r="C103" s="66" t="str">
        <ns0:v>公式紹介ページを2026年9月4日に確認。書籍化の記載あり。今回のランキング200作品には含まれない参考作で、上の件数集計には加えていません。</ns0:v>
      </ns0:c>
      <ns0:c r="D103" s="66" t="str">
        <ns0:v>公式紹介ページを2026年9月4日に確認。書籍化の記載あり。今回のランキング200作品には含まれない参考作で、上の件数集計には加えていません。</ns0:v>
      </ns0:c>
      <ns0:c r="E103" s="66" t="str">
        <ns0:v>公式紹介ページを2026年9月4日に確認。書籍化の記載あり。今回のランキング200作品には含まれない参考作で、上の件数集計には加えていません。</ns0:v>
      </ns0:c>
      <ns0:c r="F103" s="66" t="str">
        <ns0:v>公式紹介ページを2026年9月4日に確認。書籍化の記載あり。今回のランキング200作品には含まれない参考作で、上の件数集計には加えていません。</ns0:v>
      </ns0:c>
      <ns0:c r="G103" s="66" t="str">
        <ns0:v>公式紹介ページを2026年9月4日に確認。書籍化の記載あり。今回のランキング200作品には含まれない参考作で、上の件数集計には加えていません。</ns0:v>
      </ns0:c>
      <ns0:c r="H103" s="66" t="str">
        <ns0:v>公式紹介ページを2026年9月4日に確認。書籍化の記載あり。今回のランキング200作品には含まれない参考作で、上の件数集計には加えていません。</ns0:v>
      </ns0:c>
    </ns0:row>
  </ns0:sheetData>
  <ns0:mergeCells count="105">
    <ns0:mergeCell ref="A85:B85"/>
    <ns0:mergeCell ref="C85:H85"/>
    <ns0:mergeCell ref="A86:B86"/>
    <ns0:mergeCell ref="C86:H86"/>
    <ns0:mergeCell ref="A87:B87"/>
    <ns0:mergeCell ref="C87:H87"/>
    <ns0:mergeCell ref="A82:B82"/>
    <ns0:mergeCell ref="C82:H82"/>
    <ns0:mergeCell ref="A83:B83"/>
    <ns0:mergeCell ref="C83:H83"/>
    <ns0:mergeCell ref="A84:B84"/>
    <ns0:mergeCell ref="C84:H84"/>
    <ns0:mergeCell ref="A79:B79"/>
    <ns0:mergeCell ref="C79:H79"/>
    <ns0:mergeCell ref="A80:B80"/>
    <ns0:mergeCell ref="C80:H80"/>
    <ns0:mergeCell ref="A81:B81"/>
    <ns0:mergeCell ref="C81:H81"/>
    <ns0:mergeCell ref="A76:B76"/>
    <ns0:mergeCell ref="C76:H76"/>
    <ns0:mergeCell ref="A77:B77"/>
    <ns0:mergeCell ref="C77:H77"/>
    <ns0:mergeCell ref="A78:B78"/>
    <ns0:mergeCell ref="C78:H78"/>
    <ns0:mergeCell ref="A73:B73"/>
    <ns0:mergeCell ref="C73:H73"/>
    <ns0:mergeCell ref="A74:B74"/>
    <ns0:mergeCell ref="C74:H74"/>
    <ns0:mergeCell ref="A75:B75"/>
    <ns0:mergeCell ref="C75:H75"/>
    <ns0:mergeCell ref="A70:B70"/>
    <ns0:mergeCell ref="C70:H70"/>
    <ns0:mergeCell ref="A71:B71"/>
    <ns0:mergeCell ref="C71:H71"/>
    <ns0:mergeCell ref="A72:B72"/>
    <ns0:mergeCell ref="C72:H72"/>
    <ns0:mergeCell ref="A67:B67"/>
    <ns0:mergeCell ref="C67:H67"/>
    <ns0:mergeCell ref="A68:B68"/>
    <ns0:mergeCell ref="C68:H68"/>
    <ns0:mergeCell ref="A69:B69"/>
    <ns0:mergeCell ref="C69:H69"/>
    <ns0:mergeCell ref="A64:B64"/>
    <ns0:mergeCell ref="C64:H64"/>
    <ns0:mergeCell ref="A65:B65"/>
    <ns0:mergeCell ref="C65:H65"/>
    <ns0:mergeCell ref="A66:B66"/>
    <ns0:mergeCell ref="C66:H66"/>
    <ns0:mergeCell ref="A61:B61"/>
    <ns0:mergeCell ref="C61:H61"/>
    <ns0:mergeCell ref="A62:B62"/>
    <ns0:mergeCell ref="C62:H62"/>
    <ns0:mergeCell ref="A63:B63"/>
    <ns0:mergeCell ref="C63:H63"/>
    <ns0:mergeCell ref="A58:B58"/>
    <ns0:mergeCell ref="C58:H58"/>
    <ns0:mergeCell ref="A59:B59"/>
    <ns0:mergeCell ref="C59:H59"/>
    <ns0:mergeCell ref="A60:B60"/>
    <ns0:mergeCell ref="C60:H60"/>
    <ns0:mergeCell ref="A55:B55"/>
    <ns0:mergeCell ref="C55:H55"/>
    <ns0:mergeCell ref="A56:B56"/>
    <ns0:mergeCell ref="C56:H56"/>
    <ns0:mergeCell ref="A57:B57"/>
    <ns0:mergeCell ref="C57:H57"/>
    <ns0:mergeCell ref="A50:H50"/>
    <ns0:mergeCell ref="A51:H51"/>
    <ns0:mergeCell ref="A53:H53"/>
    <ns0:mergeCell ref="A54:B54"/>
    <ns0:mergeCell ref="C54:H54"/>
    <ns0:mergeCell ref="A45:H45"/>
    <ns0:mergeCell ref="A46:H46"/>
    <ns0:mergeCell ref="A47:H47"/>
    <ns0:mergeCell ref="A48:H48"/>
    <ns0:mergeCell ref="A49:H49"/>
    <ns0:mergeCell ref="A6:B6"/>
    <ns0:mergeCell ref="C6:E6"/>
    <ns0:mergeCell ref="F6:H6"/>
    <ns0:mergeCell ref="A42:B42"/>
    <ns0:mergeCell ref="A44:H44"/>
    <ns0:mergeCell ref="A1:H1"/>
    <ns0:mergeCell ref="A2:H2"/>
    <ns0:mergeCell ref="A3:H3"/>
    <ns0:mergeCell ref="A4:H4"/>
    <ns0:mergeCell ref="A5:H5"/>
    <ns0:mergeCell ref="A90:H90"/>
    <ns0:mergeCell ref="A91:H91"/>
    <ns0:mergeCell ref="A92:H92"/>
    <ns0:mergeCell ref="A93:H93"/>
    <ns0:mergeCell ref="A94:H94"/>
    <ns0:mergeCell ref="A95:H95"/>
    <ns0:mergeCell ref="A97:H97"/>
    <ns0:mergeCell ref="A98:B98"/>
    <ns0:mergeCell ref="C98:H98"/>
    <ns0:mergeCell ref="A99:B99"/>
    <ns0:mergeCell ref="C99:H99"/>
    <ns0:mergeCell ref="A100:B100"/>
    <ns0:mergeCell ref="C100:H100"/>
    <ns0:mergeCell ref="A101:B101"/>
    <ns0:mergeCell ref="C101:H101"/>
    <ns0:mergeCell ref="A102:B102"/>
    <ns0:mergeCell ref="C102:H102"/>
    <ns0:mergeCell ref="A103:B103"/>
    <ns0:mergeCell ref="C103:H103"/>
  </ns0:mergeCells>
  <ns0:phoneticPr fontId="10"/>
  <ns0:pageMargins left="0.7" right="0.7" top="0.75" bottom="0.75" header="0.3" footer="0.3"/>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あらすじ全文</vt:lpstr>
      <vt:lpstr>順位上昇</vt:lpstr>
      <vt:lpstr>順位下落</vt:lpstr>
      <vt:lpstr>スター速度</vt:lpstr>
      <vt:lpstr>新規ランクイン</vt:lpstr>
      <vt:lpstr>圏外落ち</vt:lpstr>
      <vt:lpstr>成長カーブ</vt:lpstr>
      <vt:lpstr>滞在日数</vt:lpstr>
      <vt:lpstr>全差分</vt:lpstr>
      <vt:lpstr>作品ベース分類</vt:lpstr>
      <vt:lpstr>ベース分類集計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 恭史</cp:lastModifiedBy>
  <dcterms:created xsi:type="dcterms:W3CDTF">2026-09-03T22:00:11Z</dcterms:created>
  <dcterms:modified xsi:type="dcterms:W3CDTF">2026-09-04T08:05:34Z</dcterms:modified>
</cp:coreProperties>
</file>